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StockOptions\"/>
    </mc:Choice>
  </mc:AlternateContent>
  <xr:revisionPtr revIDLastSave="0" documentId="13_ncr:1_{68A8CD0C-0F60-4BFA-A1FB-F719F47281E1}" xr6:coauthVersionLast="47" xr6:coauthVersionMax="47" xr10:uidLastSave="{00000000-0000-0000-0000-000000000000}"/>
  <bookViews>
    <workbookView xWindow="57480" yWindow="-6150" windowWidth="29040" windowHeight="15720" xr2:uid="{574073CA-BC3B-453E-B2B9-4BFBDF6EF6BA}"/>
  </bookViews>
  <sheets>
    <sheet name="Stoc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1" i="1" l="1"/>
  <c r="T21" i="1"/>
  <c r="N21" i="1"/>
  <c r="L21" i="1"/>
  <c r="K21" i="1"/>
  <c r="H21" i="1"/>
  <c r="G21" i="1"/>
  <c r="AA20" i="1"/>
  <c r="Z20" i="1"/>
  <c r="X20" i="1"/>
  <c r="T20" i="1"/>
  <c r="X19" i="1"/>
  <c r="T19" i="1"/>
  <c r="N19" i="1"/>
  <c r="L19" i="1"/>
  <c r="K19" i="1"/>
  <c r="M19" i="1" s="1"/>
  <c r="H19" i="1"/>
  <c r="G19" i="1"/>
  <c r="AA18" i="1"/>
  <c r="Z18" i="1"/>
  <c r="X18" i="1"/>
  <c r="T18" i="1"/>
  <c r="Z17" i="1"/>
  <c r="X17" i="1"/>
  <c r="T17" i="1"/>
  <c r="N17" i="1"/>
  <c r="L17" i="1"/>
  <c r="K17" i="1"/>
  <c r="H17" i="1"/>
  <c r="G17" i="1"/>
  <c r="I17" i="1" s="1"/>
  <c r="AA16" i="1"/>
  <c r="Z16" i="1"/>
  <c r="X16" i="1"/>
  <c r="T16" i="1"/>
  <c r="X15" i="1"/>
  <c r="T15" i="1"/>
  <c r="N15" i="1"/>
  <c r="L15" i="1"/>
  <c r="K15" i="1"/>
  <c r="H15" i="1"/>
  <c r="Z15" i="1" s="1"/>
  <c r="G15" i="1"/>
  <c r="AA14" i="1"/>
  <c r="Z14" i="1"/>
  <c r="X14" i="1"/>
  <c r="T14" i="1"/>
  <c r="X13" i="1"/>
  <c r="T13" i="1"/>
  <c r="N13" i="1"/>
  <c r="L13" i="1"/>
  <c r="K13" i="1"/>
  <c r="H13" i="1"/>
  <c r="Z13" i="1" s="1"/>
  <c r="G13" i="1"/>
  <c r="AA12" i="1"/>
  <c r="Z12" i="1"/>
  <c r="X12" i="1"/>
  <c r="T12" i="1"/>
  <c r="X11" i="1"/>
  <c r="T11" i="1"/>
  <c r="N11" i="1"/>
  <c r="L11" i="1"/>
  <c r="K11" i="1"/>
  <c r="H11" i="1"/>
  <c r="G11" i="1"/>
  <c r="AA10" i="1"/>
  <c r="Z10" i="1"/>
  <c r="X10" i="1"/>
  <c r="T10" i="1"/>
  <c r="X9" i="1"/>
  <c r="T9" i="1"/>
  <c r="N9" i="1"/>
  <c r="L9" i="1"/>
  <c r="K9" i="1"/>
  <c r="H9" i="1"/>
  <c r="AA9" i="1" s="1"/>
  <c r="AA8" i="1"/>
  <c r="Z8" i="1"/>
  <c r="X8" i="1"/>
  <c r="T8" i="1"/>
  <c r="X7" i="1"/>
  <c r="T7" i="1"/>
  <c r="K7" i="1"/>
  <c r="H7" i="1"/>
  <c r="Z7" i="1" s="1"/>
  <c r="G7" i="1"/>
  <c r="AA6" i="1"/>
  <c r="Z6" i="1"/>
  <c r="X6" i="1"/>
  <c r="T6" i="1"/>
  <c r="U6" i="1" s="1"/>
  <c r="Y6" i="1" s="1"/>
  <c r="X5" i="1"/>
  <c r="T5" i="1"/>
  <c r="K5" i="1"/>
  <c r="L5" i="1" s="1"/>
  <c r="M5" i="1" s="1"/>
  <c r="H5" i="1"/>
  <c r="Z5" i="1" s="1"/>
  <c r="G5" i="1"/>
  <c r="AA4" i="1"/>
  <c r="Z4" i="1"/>
  <c r="X4" i="1"/>
  <c r="T4" i="1"/>
  <c r="X3" i="1"/>
  <c r="T3" i="1"/>
  <c r="N3" i="1"/>
  <c r="L3" i="1"/>
  <c r="K3" i="1"/>
  <c r="H3" i="1"/>
  <c r="Z3" i="1" s="1"/>
  <c r="G3" i="1"/>
  <c r="AA2" i="1"/>
  <c r="Z2" i="1"/>
  <c r="X2" i="1"/>
  <c r="T2" i="1"/>
  <c r="U16" i="1" l="1"/>
  <c r="Y16" i="1" s="1"/>
  <c r="I9" i="1"/>
  <c r="U12" i="1"/>
  <c r="Y12" i="1" s="1"/>
  <c r="M13" i="1"/>
  <c r="O9" i="1"/>
  <c r="I13" i="1"/>
  <c r="U20" i="1"/>
  <c r="Y20" i="1" s="1"/>
  <c r="U4" i="1"/>
  <c r="Y4" i="1" s="1"/>
  <c r="AA21" i="1"/>
  <c r="L7" i="1"/>
  <c r="M7" i="1" s="1"/>
  <c r="I11" i="1"/>
  <c r="O15" i="1"/>
  <c r="I7" i="1"/>
  <c r="N7" i="1"/>
  <c r="O7" i="1" s="1"/>
  <c r="U8" i="1"/>
  <c r="Y8" i="1" s="1"/>
  <c r="M9" i="1"/>
  <c r="Z9" i="1"/>
  <c r="M11" i="1"/>
  <c r="AA13" i="1"/>
  <c r="U14" i="1"/>
  <c r="Y14" i="1" s="1"/>
  <c r="AA17" i="1"/>
  <c r="U17" i="1" s="1"/>
  <c r="Y17" i="1" s="1"/>
  <c r="M21" i="1"/>
  <c r="U2" i="1"/>
  <c r="Y2" i="1" s="1"/>
  <c r="O3" i="1"/>
  <c r="AA7" i="1"/>
  <c r="U7" i="1" s="1"/>
  <c r="Y7" i="1" s="1"/>
  <c r="U10" i="1"/>
  <c r="Y10" i="1" s="1"/>
  <c r="O17" i="1"/>
  <c r="I19" i="1"/>
  <c r="U18" i="1"/>
  <c r="Y18" i="1" s="1"/>
  <c r="O21" i="1"/>
  <c r="U13" i="1"/>
  <c r="Y13" i="1" s="1"/>
  <c r="U9" i="1"/>
  <c r="Y9" i="1" s="1"/>
  <c r="I21" i="1"/>
  <c r="M3" i="1"/>
  <c r="I3" i="1"/>
  <c r="AA5" i="1"/>
  <c r="U5" i="1" s="1"/>
  <c r="Y5" i="1" s="1"/>
  <c r="O11" i="1"/>
  <c r="O19" i="1"/>
  <c r="I5" i="1"/>
  <c r="N5" i="1"/>
  <c r="O5" i="1" s="1"/>
  <c r="Z11" i="1"/>
  <c r="O13" i="1"/>
  <c r="I15" i="1"/>
  <c r="M17" i="1"/>
  <c r="Z19" i="1"/>
  <c r="AA3" i="1"/>
  <c r="U3" i="1" s="1"/>
  <c r="Y3" i="1" s="1"/>
  <c r="M15" i="1"/>
  <c r="AA15" i="1"/>
  <c r="U15" i="1" s="1"/>
  <c r="Y15" i="1" s="1"/>
  <c r="AA11" i="1"/>
  <c r="AA19" i="1"/>
  <c r="Z21" i="1"/>
  <c r="U21" i="1" l="1"/>
  <c r="Y21" i="1" s="1"/>
  <c r="U19" i="1"/>
  <c r="Y19" i="1" s="1"/>
  <c r="U11" i="1"/>
  <c r="Y11" i="1" s="1"/>
</calcChain>
</file>

<file path=xl/sharedStrings.xml><?xml version="1.0" encoding="utf-8"?>
<sst xmlns="http://schemas.openxmlformats.org/spreadsheetml/2006/main" count="107" uniqueCount="41">
  <si>
    <t>Trade Date</t>
  </si>
  <si>
    <t>Direction</t>
  </si>
  <si>
    <t>Expiry</t>
  </si>
  <si>
    <t>Instrument</t>
  </si>
  <si>
    <t>Call/Put</t>
  </si>
  <si>
    <t>Month</t>
  </si>
  <si>
    <t>Strike</t>
  </si>
  <si>
    <t>Qty</t>
  </si>
  <si>
    <t>Notional</t>
  </si>
  <si>
    <t>Entry</t>
  </si>
  <si>
    <t>Total</t>
  </si>
  <si>
    <t>SL</t>
  </si>
  <si>
    <t>Loss Amount</t>
  </si>
  <si>
    <t>TP</t>
  </si>
  <si>
    <t>TP Amount</t>
  </si>
  <si>
    <t>Exit</t>
  </si>
  <si>
    <t>Exit spot</t>
  </si>
  <si>
    <t>Exit Date</t>
  </si>
  <si>
    <t>Exit time</t>
  </si>
  <si>
    <t>Points</t>
  </si>
  <si>
    <t>Profit/Loss</t>
  </si>
  <si>
    <t>Stop</t>
  </si>
  <si>
    <t>Day end</t>
  </si>
  <si>
    <t>Day</t>
  </si>
  <si>
    <t>Profit per lot</t>
  </si>
  <si>
    <t>Volume</t>
  </si>
  <si>
    <t>Brokerage</t>
  </si>
  <si>
    <t>Short</t>
  </si>
  <si>
    <t>Call</t>
  </si>
  <si>
    <t>Sep</t>
  </si>
  <si>
    <t>Put</t>
  </si>
  <si>
    <t>INFY</t>
  </si>
  <si>
    <t>ITC</t>
  </si>
  <si>
    <t>LT</t>
  </si>
  <si>
    <t>TCS</t>
  </si>
  <si>
    <t>SBIN</t>
  </si>
  <si>
    <t>HDFCBANK</t>
  </si>
  <si>
    <t>ICICIBANK</t>
  </si>
  <si>
    <t>AXISBANK</t>
  </si>
  <si>
    <t>RELIANCE</t>
  </si>
  <si>
    <t>BHARTIARTL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</si>
</sst>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164" fontId="2" fillId="0" borderId="0" xfId="1" applyNumberFormat="1" applyFont="1"/>
    <xf numFmtId="164" fontId="0" fillId="0" borderId="0" xfId="1" applyNumberFormat="1" applyFont="1"/>
    <xf numFmtId="16" fontId="0" fillId="0" borderId="0" xfId="0" applyNumberFormat="1"/>
    <xf numFmtId="43" fontId="2" fillId="2" borderId="0" xfId="1" applyFont="1" applyFill="1"/>
    <xf numFmtId="43" fontId="2" fillId="0" borderId="0" xfId="1" applyFont="1" applyFill="1"/>
    <xf numFmtId="164" fontId="2" fillId="0" borderId="0" xfId="1" applyNumberFormat="1" applyFont="1" applyFill="1"/>
    <xf numFmtId="43" fontId="0" fillId="0" borderId="0" xfId="1" applyFont="1"/>
    <xf numFmtId="164" fontId="0" fillId="0" borderId="1" xfId="1" applyNumberFormat="1" applyFont="1" applyBorder="1"/>
    <xf numFmtId="16" fontId="0" fillId="0" borderId="2" xfId="0" applyNumberFormat="1" applyBorder="1"/>
    <xf numFmtId="0" fontId="0" fillId="0" borderId="2" xfId="0" applyBorder="1"/>
    <xf numFmtId="164" fontId="0" fillId="0" borderId="2" xfId="1" applyNumberFormat="1" applyFont="1" applyBorder="1"/>
    <xf numFmtId="43" fontId="2" fillId="2" borderId="2" xfId="1" applyFont="1" applyFill="1" applyBorder="1"/>
    <xf numFmtId="43" fontId="2" fillId="0" borderId="2" xfId="1" applyFont="1" applyFill="1" applyBorder="1"/>
    <xf numFmtId="164" fontId="2" fillId="0" borderId="2" xfId="1" applyNumberFormat="1" applyFont="1" applyFill="1" applyBorder="1"/>
    <xf numFmtId="43" fontId="0" fillId="0" borderId="2" xfId="1" applyFont="1" applyBorder="1"/>
    <xf numFmtId="164" fontId="0" fillId="0" borderId="3" xfId="1" applyNumberFormat="1" applyFont="1" applyBorder="1"/>
    <xf numFmtId="16" fontId="0" fillId="0" borderId="4" xfId="0" applyNumberFormat="1" applyBorder="1"/>
    <xf numFmtId="0" fontId="0" fillId="0" borderId="4" xfId="0" applyBorder="1"/>
    <xf numFmtId="164" fontId="0" fillId="0" borderId="4" xfId="1" applyNumberFormat="1" applyFont="1" applyBorder="1"/>
    <xf numFmtId="43" fontId="2" fillId="2" borderId="4" xfId="1" applyFont="1" applyFill="1" applyBorder="1"/>
    <xf numFmtId="43" fontId="2" fillId="0" borderId="4" xfId="1" applyFont="1" applyFill="1" applyBorder="1"/>
    <xf numFmtId="164" fontId="2" fillId="0" borderId="4" xfId="1" applyNumberFormat="1" applyFont="1" applyFill="1" applyBorder="1"/>
    <xf numFmtId="43" fontId="0" fillId="0" borderId="4" xfId="1" applyFont="1" applyBorder="1"/>
    <xf numFmtId="164" fontId="0" fillId="0" borderId="5" xfId="1" applyNumberFormat="1" applyFont="1" applyBorder="1"/>
    <xf numFmtId="164" fontId="0" fillId="0" borderId="0" xfId="0" applyNumberFormat="1"/>
    <xf numFmtId="9" fontId="0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1" formatCode="dd/m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 * #,##0.00_ ;_ * \-#,##0.00_ ;_ * &quot;-&quot;??_ ;_ @_ "/>
      <fill>
        <patternFill patternType="solid">
          <fgColor indexed="64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</dxf>
    <dxf>
      <numFmt numFmtId="21" formatCode="dd/mmm"/>
    </dxf>
    <dxf>
      <numFmt numFmtId="21" formatCode="dd/mmm"/>
    </dxf>
    <dxf>
      <numFmt numFmtId="21" formatCode="dd/mmm"/>
    </dxf>
    <dxf>
      <numFmt numFmtId="21" formatCode="dd/m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3F3A75-075F-4FB4-B7A2-C27A08AD0114}" name="Table620" displayName="Table620" ref="A1:AA21" totalsRowShown="0" dataDxfId="25" dataCellStyle="Comma">
  <autoFilter ref="A1:AA21" xr:uid="{F27C4317-C175-4D69-8FCC-EDD1A2BBDA05}"/>
  <tableColumns count="27">
    <tableColumn id="1" xr3:uid="{207D2169-DE6D-4F8A-A475-4F85D0565F22}" name="Trade Date" dataDxfId="24"/>
    <tableColumn id="4" xr3:uid="{F6501DCE-B86C-40B7-9857-5550307330F7}" name="Direction" dataDxfId="23"/>
    <tableColumn id="27" xr3:uid="{D55F307A-78C9-4AAD-81DA-488D020FEDC9}" name="Expiry" dataDxfId="22"/>
    <tableColumn id="5" xr3:uid="{7381CF6F-6198-4E36-9854-4DE3308EBC49}" name="Instrument" dataDxfId="21"/>
    <tableColumn id="8" xr3:uid="{C01B527A-E4DE-4F46-A269-6C1572A83D47}" name="Call/Put"/>
    <tableColumn id="3" xr3:uid="{01A1B72D-3141-443E-806D-87C7A917F24D}" name="Month"/>
    <tableColumn id="9" xr3:uid="{62D6F288-E6A7-4A28-BBD2-86BDFBBAB59D}" name="Strike" dataDxfId="20" dataCellStyle="Comma"/>
    <tableColumn id="10" xr3:uid="{297E265A-E0ED-4D7C-B716-942A6A58A36C}" name="Qty" dataDxfId="19" dataCellStyle="Comma">
      <calculatedColumnFormula>+H1</calculatedColumnFormula>
    </tableColumn>
    <tableColumn id="25" xr3:uid="{D6A6F45D-E9B9-451D-B20B-77565713975F}" name="Notional" dataDxfId="18" dataCellStyle="Comma">
      <calculatedColumnFormula>+(H1+Table620[[#This Row],[Qty]])*Table620[[#This Row],[Strike]]</calculatedColumnFormula>
    </tableColumn>
    <tableColumn id="11" xr3:uid="{183FEB7A-01F3-4F1A-B3E8-237E9C225EBE}" name="Entry" dataDxfId="17" dataCellStyle="Comma"/>
    <tableColumn id="6" xr3:uid="{C0D1C343-C64A-4648-B32B-F73EA4AAC388}" name="Total" dataDxfId="16" dataCellStyle="Comma">
      <calculatedColumnFormula>+J1+Table620[[#This Row],[Entry]]</calculatedColumnFormula>
    </tableColumn>
    <tableColumn id="13" xr3:uid="{562FA218-48C2-4C7D-8489-A457A02DF966}" name="SL" dataDxfId="15" dataCellStyle="Comma">
      <calculatedColumnFormula>+(J1+Table620[[#This Row],[Entry]])*2</calculatedColumnFormula>
    </tableColumn>
    <tableColumn id="7" xr3:uid="{D0C216F9-1A65-4149-8698-BCAC31F9FF13}" name="Loss Amount" dataDxfId="14" dataCellStyle="Comma">
      <calculatedColumnFormula>+(Table620[[#This Row],[Total]]-Table620[[#This Row],[SL]])*H2</calculatedColumnFormula>
    </tableColumn>
    <tableColumn id="2" xr3:uid="{F0C9E9B0-51B9-4DB9-B4A5-4F77722F6C86}" name="TP" dataDxfId="13" dataCellStyle="Comma">
      <calculatedColumnFormula>+(J1+Table620[[#This Row],[Entry]])*0.5</calculatedColumnFormula>
    </tableColumn>
    <tableColumn id="24" xr3:uid="{2CE13CD0-C6E4-4BEF-B8F4-9138F5350D84}" name="TP Amount" dataDxfId="12" dataCellStyle="Comma">
      <calculatedColumnFormula>+(Table620[[#This Row],[Total]]-Table620[[#This Row],[TP]])*Table620[[#This Row],[Qty]]</calculatedColumnFormula>
    </tableColumn>
    <tableColumn id="14" xr3:uid="{D0E67692-365F-4F36-AE4C-D90F4D406714}" name="Exit" dataDxfId="11" dataCellStyle="Comma"/>
    <tableColumn id="15" xr3:uid="{CDBD0287-293C-4B1F-A725-14DC8BF21008}" name="Exit spot" dataDxfId="10" dataCellStyle="Comma"/>
    <tableColumn id="26" xr3:uid="{9784B898-74A2-4672-A71A-7CB917F14B22}" name="Exit Date" dataDxfId="9" dataCellStyle="Comma"/>
    <tableColumn id="16" xr3:uid="{B91DAE13-266C-4ED1-88CF-0E4712A515DA}" name="Exit time" dataDxfId="8" dataCellStyle="Comma"/>
    <tableColumn id="17" xr3:uid="{ADA314FD-9BB4-4217-8B18-2F4CFC978F90}" name="Points" dataDxfId="7" dataCellStyle="Comma">
      <calculatedColumnFormula>+IF(Table620[[#This Row],[Direction]]="Short",J2-P2,P2-J2)</calculatedColumnFormula>
    </tableColumn>
    <tableColumn id="18" xr3:uid="{72D180F3-BA73-4FD4-8482-20037D03DDEE}" name="Profit/Loss" dataDxfId="6" dataCellStyle="Comma">
      <calculatedColumnFormula>+T2*H2-Z2-AA2</calculatedColumnFormula>
    </tableColumn>
    <tableColumn id="19" xr3:uid="{37188C30-DFD0-48E8-BD47-4E289B7217F0}" name="Stop" dataDxfId="5" dataCellStyle="Comma"/>
    <tableColumn id="20" xr3:uid="{F9A562E6-8D16-470A-AD4E-CE038D1CA7ED}" name="Day end" dataDxfId="4" dataCellStyle="Comma"/>
    <tableColumn id="21" xr3:uid="{94BA0E97-382F-4C7B-9655-2D8F03ADC41E}" name="Day" dataDxfId="3" dataCellStyle="Comma">
      <calculatedColumnFormula>+WEEKDAY(Table620[[#This Row],[Trade Date]],2)</calculatedColumnFormula>
    </tableColumn>
    <tableColumn id="22" xr3:uid="{EA5AB096-D4D1-4D97-BEE5-A03770A0A4D3}" name="Profit per lot" dataDxfId="2" dataCellStyle="Comma">
      <calculatedColumnFormula>IFERROR(+U2/SUMIFS(#REF!,#REF!,1,Table620[Instrument],Table620[[#This Row],[Instrument]],Table620[Trade Date],Table620[[#This Row],[Trade Date]])*2,0)</calculatedColumnFormula>
    </tableColumn>
    <tableColumn id="12" xr3:uid="{7ED68795-1A3B-4E29-AA88-D9DB654E1C25}" name="Volume" dataDxfId="1" dataCellStyle="Comma">
      <calculatedColumnFormula>+(Table620[[#This Row],[Qty]]*(Table620[[#This Row],[Entry]]+Table620[[#This Row],[Exit]]))*0.119263%</calculatedColumnFormula>
    </tableColumn>
    <tableColumn id="23" xr3:uid="{0E21B319-457C-44FD-9959-799AB7CFD1DB}" name="Brokerage" dataDxfId="0" dataCellStyle="Comma">
      <calculatedColumnFormula>+IF(Table620[[#This Row],[Qty]]=0,0,IF(Table620[[#This Row],[Exit]]=0,((ROUNDUP(IF(Table620[[#This Row],[Instrument]]="Sensex",Table620[[#This Row],[Qty]]/1000,Table620[[#This Row],[Qty]]/1800),0)*40*2)-40),ROUNDUP(IF(Table620[[#This Row],[Instrument]]="Sensex",Table620[[#This Row],[Qty]]/1000,Table620[[#This Row],[Qty]]/1800),0)*40*2))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C4BDC-8C46-43F8-91E0-31C56A777B4A}">
  <dimension ref="A1:AQ175"/>
  <sheetViews>
    <sheetView tabSelected="1" zoomScale="110" zoomScaleNormal="110" workbookViewId="0"/>
  </sheetViews>
  <sheetFormatPr defaultRowHeight="14.4" x14ac:dyDescent="0.3"/>
  <cols>
    <col min="1" max="1" width="12" customWidth="1"/>
    <col min="2" max="3" width="10.77734375" customWidth="1"/>
    <col min="4" max="4" width="14.33203125" customWidth="1"/>
    <col min="5" max="6" width="10.44140625" customWidth="1"/>
    <col min="7" max="7" width="12.21875" customWidth="1"/>
    <col min="8" max="9" width="15.88671875" customWidth="1"/>
    <col min="12" max="12" width="9.6640625" customWidth="1"/>
    <col min="13" max="13" width="12.21875" style="3" bestFit="1" customWidth="1"/>
    <col min="14" max="14" width="9.6640625" customWidth="1"/>
    <col min="15" max="15" width="9.6640625" style="3" customWidth="1"/>
    <col min="22" max="22" width="10" customWidth="1"/>
    <col min="23" max="23" width="11" customWidth="1"/>
    <col min="24" max="24" width="9.5546875" bestFit="1" customWidth="1"/>
    <col min="25" max="25" width="12" customWidth="1"/>
    <col min="27" max="27" width="9.77734375" customWidth="1"/>
    <col min="29" max="29" width="13.44140625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t="s">
        <v>16</v>
      </c>
      <c r="R1" t="s">
        <v>17</v>
      </c>
      <c r="S1" s="3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42" x14ac:dyDescent="0.3">
      <c r="A2" s="4">
        <v>46254</v>
      </c>
      <c r="B2" s="4" t="s">
        <v>27</v>
      </c>
      <c r="C2" s="4">
        <v>46294</v>
      </c>
      <c r="D2" s="4" t="s">
        <v>36</v>
      </c>
      <c r="E2" t="s">
        <v>28</v>
      </c>
      <c r="F2" t="s">
        <v>29</v>
      </c>
      <c r="G2" s="3">
        <v>730</v>
      </c>
      <c r="H2" s="3">
        <v>3250</v>
      </c>
      <c r="I2" s="3"/>
      <c r="J2" s="5">
        <v>20.85</v>
      </c>
      <c r="K2" s="5"/>
      <c r="L2" s="6"/>
      <c r="M2" s="7"/>
      <c r="N2" s="6"/>
      <c r="O2" s="7"/>
      <c r="P2" s="5"/>
      <c r="Q2" s="3"/>
      <c r="R2" s="4"/>
      <c r="S2" s="3"/>
      <c r="T2" s="8">
        <f>+IF(Table620[[#This Row],[Direction]]="Short",J2-P2,P2-J2)</f>
        <v>20.85</v>
      </c>
      <c r="U2" s="3">
        <f t="shared" ref="U2:U21" si="0">+T2*H2-Z2-AA2</f>
        <v>67561.684409624999</v>
      </c>
      <c r="V2" s="3"/>
      <c r="W2" s="3"/>
      <c r="X2" s="3">
        <f>+WEEKDAY(Table620[[#This Row],[Trade Date]],2)</f>
        <v>4</v>
      </c>
      <c r="Y2" s="9">
        <f>IFERROR(+U2/SUMIFS(#REF!,#REF!,1,Table620[Instrument],Table620[[#This Row],[Instrument]],Table620[Trade Date],Table620[[#This Row],[Trade Date]])*2,0)</f>
        <v>0</v>
      </c>
      <c r="Z2" s="3">
        <f>+(Table620[[#This Row],[Qty]]*(Table620[[#This Row],[Entry]]+Table620[[#This Row],[Exit]]))*0.119263%</f>
        <v>80.815590374999985</v>
      </c>
      <c r="AA2" s="3">
        <f>+IF(Table620[[#This Row],[Qty]]=0,0,IF(Table620[[#This Row],[Exit]]=0,((ROUNDUP(IF(Table620[[#This Row],[Instrument]]="Sensex",Table620[[#This Row],[Qty]]/1000,Table620[[#This Row],[Qty]]/1800),0)*40*2)-40),ROUNDUP(IF(Table620[[#This Row],[Instrument]]="Sensex",Table620[[#This Row],[Qty]]/1000,Table620[[#This Row],[Qty]]/1800),0)*40*2))</f>
        <v>120</v>
      </c>
    </row>
    <row r="3" spans="1:42" x14ac:dyDescent="0.3">
      <c r="A3" s="4">
        <v>46254</v>
      </c>
      <c r="B3" s="4" t="s">
        <v>27</v>
      </c>
      <c r="C3" s="4">
        <v>46294</v>
      </c>
      <c r="D3" s="4" t="s">
        <v>36</v>
      </c>
      <c r="E3" t="s">
        <v>30</v>
      </c>
      <c r="F3" t="s">
        <v>29</v>
      </c>
      <c r="G3" s="3">
        <f>+G2</f>
        <v>730</v>
      </c>
      <c r="H3" s="3">
        <f t="shared" ref="H3:H7" si="1">+H2</f>
        <v>3250</v>
      </c>
      <c r="I3" s="3">
        <f>+Table620[[#This Row],[Qty]]*Table620[[#This Row],[Strike]]</f>
        <v>2372500</v>
      </c>
      <c r="J3" s="5">
        <v>17.75</v>
      </c>
      <c r="K3" s="5">
        <f>+J2+Table620[[#This Row],[Entry]]</f>
        <v>38.6</v>
      </c>
      <c r="L3" s="6">
        <f>+Table620[[#This Row],[Total]]*2</f>
        <v>77.2</v>
      </c>
      <c r="M3" s="7">
        <f>+(Table620[[#This Row],[Total]]-Table620[[#This Row],[SL]])*Table620[[#This Row],[Qty]]</f>
        <v>-125450</v>
      </c>
      <c r="N3" s="6">
        <f>+Table620[[#This Row],[Total]]*0.5</f>
        <v>19.3</v>
      </c>
      <c r="O3" s="7">
        <f>+(Table620[[#This Row],[Total]]-Table620[[#This Row],[TP]])*Table620[[#This Row],[Qty]]</f>
        <v>62725</v>
      </c>
      <c r="P3" s="5"/>
      <c r="Q3" s="3"/>
      <c r="R3" s="4"/>
      <c r="S3" s="3"/>
      <c r="T3" s="8">
        <f>+IF(Table620[[#This Row],[Direction]]="Short",J3-P3,P3-J3)</f>
        <v>17.75</v>
      </c>
      <c r="U3" s="3">
        <f t="shared" si="0"/>
        <v>57498.700156874998</v>
      </c>
      <c r="V3" s="3"/>
      <c r="W3" s="3"/>
      <c r="X3" s="3">
        <f>+WEEKDAY(Table620[[#This Row],[Trade Date]],2)</f>
        <v>4</v>
      </c>
      <c r="Y3" s="9">
        <f>IFERROR(+U3/SUMIFS(#REF!,#REF!,1,Table620[Instrument],Table620[[#This Row],[Instrument]],Table620[Trade Date],Table620[[#This Row],[Trade Date]])*2,0)</f>
        <v>0</v>
      </c>
      <c r="Z3" s="3">
        <f>+(Table620[[#This Row],[Qty]]*(Table620[[#This Row],[Entry]]+Table620[[#This Row],[Exit]]))*0.119263%</f>
        <v>68.799843124999995</v>
      </c>
      <c r="AA3" s="3">
        <f>+IF(Table620[[#This Row],[Qty]]=0,0,IF(Table620[[#This Row],[Exit]]=0,((ROUNDUP(IF(Table620[[#This Row],[Instrument]]="Sensex",Table620[[#This Row],[Qty]]/1000,Table620[[#This Row],[Qty]]/1800),0)*40*2)-40),ROUNDUP(IF(Table620[[#This Row],[Instrument]]="Sensex",Table620[[#This Row],[Qty]]/1000,Table620[[#This Row],[Qty]]/1800),0)*40*2))</f>
        <v>120</v>
      </c>
    </row>
    <row r="4" spans="1:42" x14ac:dyDescent="0.3">
      <c r="A4" s="10">
        <v>46254</v>
      </c>
      <c r="B4" s="10" t="s">
        <v>27</v>
      </c>
      <c r="C4" s="10">
        <v>46294</v>
      </c>
      <c r="D4" s="10" t="s">
        <v>39</v>
      </c>
      <c r="E4" s="11" t="s">
        <v>28</v>
      </c>
      <c r="F4" s="11" t="s">
        <v>29</v>
      </c>
      <c r="G4" s="12">
        <v>1320</v>
      </c>
      <c r="H4" s="12">
        <v>2500</v>
      </c>
      <c r="I4" s="12"/>
      <c r="J4" s="13">
        <v>29.6</v>
      </c>
      <c r="K4" s="13"/>
      <c r="L4" s="14"/>
      <c r="M4" s="15"/>
      <c r="N4" s="14"/>
      <c r="O4" s="15"/>
      <c r="P4" s="13"/>
      <c r="Q4" s="12"/>
      <c r="R4" s="10"/>
      <c r="S4" s="12"/>
      <c r="T4" s="16">
        <f>+IF(Table620[[#This Row],[Direction]]="Short",J4-P4,P4-J4)</f>
        <v>29.6</v>
      </c>
      <c r="U4" s="12">
        <f t="shared" si="0"/>
        <v>73791.745379999993</v>
      </c>
      <c r="V4" s="12"/>
      <c r="W4" s="12"/>
      <c r="X4" s="12">
        <f>+WEEKDAY(Table620[[#This Row],[Trade Date]],2)</f>
        <v>4</v>
      </c>
      <c r="Y4" s="17">
        <f>IFERROR(+U4/SUMIFS(#REF!,#REF!,1,Table620[Instrument],Table620[[#This Row],[Instrument]],Table620[Trade Date],Table620[[#This Row],[Trade Date]])*2,0)</f>
        <v>0</v>
      </c>
      <c r="Z4" s="12">
        <f>+(Table620[[#This Row],[Qty]]*(Table620[[#This Row],[Entry]]+Table620[[#This Row],[Exit]]))*0.119263%</f>
        <v>88.254619999999989</v>
      </c>
      <c r="AA4" s="12">
        <f>+IF(Table620[[#This Row],[Qty]]=0,0,IF(Table620[[#This Row],[Exit]]=0,((ROUNDUP(IF(Table620[[#This Row],[Instrument]]="Sensex",Table620[[#This Row],[Qty]]/1000,Table620[[#This Row],[Qty]]/1800),0)*40*2)-40),ROUNDUP(IF(Table620[[#This Row],[Instrument]]="Sensex",Table620[[#This Row],[Qty]]/1000,Table620[[#This Row],[Qty]]/1800),0)*40*2))</f>
        <v>120</v>
      </c>
    </row>
    <row r="5" spans="1:42" x14ac:dyDescent="0.3">
      <c r="A5" s="18">
        <v>46254</v>
      </c>
      <c r="B5" s="18" t="s">
        <v>27</v>
      </c>
      <c r="C5" s="18">
        <v>46294</v>
      </c>
      <c r="D5" s="18" t="s">
        <v>39</v>
      </c>
      <c r="E5" s="19" t="s">
        <v>30</v>
      </c>
      <c r="F5" s="19" t="s">
        <v>29</v>
      </c>
      <c r="G5" s="20">
        <f>+G4</f>
        <v>1320</v>
      </c>
      <c r="H5" s="20">
        <f t="shared" si="1"/>
        <v>2500</v>
      </c>
      <c r="I5" s="20">
        <f>+Table620[[#This Row],[Qty]]*Table620[[#This Row],[Strike]]</f>
        <v>3300000</v>
      </c>
      <c r="J5" s="21">
        <v>30.1</v>
      </c>
      <c r="K5" s="21">
        <f>+J4+Table620[[#This Row],[Entry]]</f>
        <v>59.7</v>
      </c>
      <c r="L5" s="22">
        <f>+Table620[[#This Row],[Total]]*2</f>
        <v>119.4</v>
      </c>
      <c r="M5" s="23">
        <f>+(Table620[[#This Row],[Total]]-Table620[[#This Row],[SL]])*Table620[[#This Row],[Qty]]</f>
        <v>-149250</v>
      </c>
      <c r="N5" s="22">
        <f>+Table620[[#This Row],[Total]]*0.5</f>
        <v>29.85</v>
      </c>
      <c r="O5" s="23">
        <f>+(Table620[[#This Row],[Total]]-Table620[[#This Row],[TP]])*Table620[[#This Row],[Qty]]</f>
        <v>74625</v>
      </c>
      <c r="P5" s="21"/>
      <c r="Q5" s="20"/>
      <c r="R5" s="18"/>
      <c r="S5" s="20"/>
      <c r="T5" s="24">
        <f>+IF(Table620[[#This Row],[Direction]]="Short",J5-P5,P5-J5)</f>
        <v>30.1</v>
      </c>
      <c r="U5" s="20">
        <f t="shared" si="0"/>
        <v>75040.254592500001</v>
      </c>
      <c r="V5" s="20"/>
      <c r="W5" s="20"/>
      <c r="X5" s="20">
        <f>+WEEKDAY(Table620[[#This Row],[Trade Date]],2)</f>
        <v>4</v>
      </c>
      <c r="Y5" s="25">
        <f>IFERROR(+U5/SUMIFS(#REF!,#REF!,1,Table620[Instrument],Table620[[#This Row],[Instrument]],Table620[Trade Date],Table620[[#This Row],[Trade Date]])*2,0)</f>
        <v>0</v>
      </c>
      <c r="Z5" s="20">
        <f>+(Table620[[#This Row],[Qty]]*(Table620[[#This Row],[Entry]]+Table620[[#This Row],[Exit]]))*0.119263%</f>
        <v>89.745407499999985</v>
      </c>
      <c r="AA5" s="20">
        <f>+IF(Table620[[#This Row],[Qty]]=0,0,IF(Table620[[#This Row],[Exit]]=0,((ROUNDUP(IF(Table620[[#This Row],[Instrument]]="Sensex",Table620[[#This Row],[Qty]]/1000,Table620[[#This Row],[Qty]]/1800),0)*40*2)-40),ROUNDUP(IF(Table620[[#This Row],[Instrument]]="Sensex",Table620[[#This Row],[Qty]]/1000,Table620[[#This Row],[Qty]]/1800),0)*40*2))</f>
        <v>120</v>
      </c>
    </row>
    <row r="6" spans="1:42" x14ac:dyDescent="0.3">
      <c r="A6" s="4">
        <v>46254</v>
      </c>
      <c r="B6" s="4" t="s">
        <v>27</v>
      </c>
      <c r="C6" s="4">
        <v>46294</v>
      </c>
      <c r="D6" s="4" t="s">
        <v>37</v>
      </c>
      <c r="E6" t="s">
        <v>28</v>
      </c>
      <c r="F6" t="s">
        <v>29</v>
      </c>
      <c r="G6" s="3">
        <v>1420</v>
      </c>
      <c r="H6" s="3">
        <v>3500</v>
      </c>
      <c r="I6" s="3"/>
      <c r="J6" s="5">
        <v>28.5</v>
      </c>
      <c r="K6" s="5"/>
      <c r="L6" s="6"/>
      <c r="M6" s="7"/>
      <c r="N6" s="6"/>
      <c r="O6" s="7"/>
      <c r="P6" s="5"/>
      <c r="Q6" s="3"/>
      <c r="R6" s="4"/>
      <c r="S6" s="3"/>
      <c r="T6" s="8">
        <f>+IF(Table620[[#This Row],[Direction]]="Short",J6-P6,P6-J6)</f>
        <v>28.5</v>
      </c>
      <c r="U6" s="3">
        <f t="shared" si="0"/>
        <v>99511.035157499995</v>
      </c>
      <c r="V6" s="3"/>
      <c r="W6" s="3"/>
      <c r="X6" s="3">
        <f>+WEEKDAY(Table620[[#This Row],[Trade Date]],2)</f>
        <v>4</v>
      </c>
      <c r="Y6" s="9">
        <f>IFERROR(+U6/SUMIFS(#REF!,#REF!,1,Table620[Instrument],Table620[[#This Row],[Instrument]],Table620[Trade Date],Table620[[#This Row],[Trade Date]])*2,0)</f>
        <v>0</v>
      </c>
      <c r="Z6" s="3">
        <f>+(Table620[[#This Row],[Qty]]*(Table620[[#This Row],[Entry]]+Table620[[#This Row],[Exit]]))*0.119263%</f>
        <v>118.96484249999999</v>
      </c>
      <c r="AA6" s="3">
        <f>+IF(Table620[[#This Row],[Qty]]=0,0,IF(Table620[[#This Row],[Exit]]=0,((ROUNDUP(IF(Table620[[#This Row],[Instrument]]="Sensex",Table620[[#This Row],[Qty]]/1000,Table620[[#This Row],[Qty]]/1800),0)*40*2)-40),ROUNDUP(IF(Table620[[#This Row],[Instrument]]="Sensex",Table620[[#This Row],[Qty]]/1000,Table620[[#This Row],[Qty]]/1800),0)*40*2))</f>
        <v>120</v>
      </c>
    </row>
    <row r="7" spans="1:42" x14ac:dyDescent="0.3">
      <c r="A7" s="4">
        <v>46254</v>
      </c>
      <c r="B7" s="4" t="s">
        <v>27</v>
      </c>
      <c r="C7" s="4">
        <v>46294</v>
      </c>
      <c r="D7" s="4" t="s">
        <v>37</v>
      </c>
      <c r="E7" t="s">
        <v>30</v>
      </c>
      <c r="F7" t="s">
        <v>29</v>
      </c>
      <c r="G7" s="3">
        <f>+G6</f>
        <v>1420</v>
      </c>
      <c r="H7" s="3">
        <f t="shared" si="1"/>
        <v>3500</v>
      </c>
      <c r="I7" s="3">
        <f>+Table620[[#This Row],[Qty]]*Table620[[#This Row],[Strike]]</f>
        <v>4970000</v>
      </c>
      <c r="J7" s="5">
        <v>30.25</v>
      </c>
      <c r="K7" s="5">
        <f>+J6+Table620[[#This Row],[Entry]]</f>
        <v>58.75</v>
      </c>
      <c r="L7" s="6">
        <f>+Table620[[#This Row],[Total]]*2</f>
        <v>117.5</v>
      </c>
      <c r="M7" s="7">
        <f>+(Table620[[#This Row],[Total]]-Table620[[#This Row],[SL]])*Table620[[#This Row],[Qty]]</f>
        <v>-205625</v>
      </c>
      <c r="N7" s="6">
        <f>+Table620[[#This Row],[Total]]*0.5</f>
        <v>29.375</v>
      </c>
      <c r="O7" s="7">
        <f>+(Table620[[#This Row],[Total]]-Table620[[#This Row],[TP]])*Table620[[#This Row],[Qty]]</f>
        <v>102812.5</v>
      </c>
      <c r="P7" s="5"/>
      <c r="Q7" s="3"/>
      <c r="R7" s="4"/>
      <c r="S7" s="3"/>
      <c r="T7" s="8">
        <f>+IF(Table620[[#This Row],[Direction]]="Short",J7-P7,P7-J7)</f>
        <v>30.25</v>
      </c>
      <c r="U7" s="3">
        <f t="shared" si="0"/>
        <v>105628.73029875</v>
      </c>
      <c r="V7" s="3"/>
      <c r="W7" s="3"/>
      <c r="X7" s="3">
        <f>+WEEKDAY(Table620[[#This Row],[Trade Date]],2)</f>
        <v>4</v>
      </c>
      <c r="Y7" s="9">
        <f>IFERROR(+U7/SUMIFS(#REF!,#REF!,1,Table620[Instrument],Table620[[#This Row],[Instrument]],Table620[Trade Date],Table620[[#This Row],[Trade Date]])*2,0)</f>
        <v>0</v>
      </c>
      <c r="Z7" s="3">
        <f>+(Table620[[#This Row],[Qty]]*(Table620[[#This Row],[Entry]]+Table620[[#This Row],[Exit]]))*0.119263%</f>
        <v>126.26970124999998</v>
      </c>
      <c r="AA7" s="3">
        <f>+IF(Table620[[#This Row],[Qty]]=0,0,IF(Table620[[#This Row],[Exit]]=0,((ROUNDUP(IF(Table620[[#This Row],[Instrument]]="Sensex",Table620[[#This Row],[Qty]]/1000,Table620[[#This Row],[Qty]]/1800),0)*40*2)-40),ROUNDUP(IF(Table620[[#This Row],[Instrument]]="Sensex",Table620[[#This Row],[Qty]]/1000,Table620[[#This Row],[Qty]]/1800),0)*40*2))</f>
        <v>120</v>
      </c>
    </row>
    <row r="8" spans="1:42" x14ac:dyDescent="0.3">
      <c r="A8" s="10">
        <v>46254</v>
      </c>
      <c r="B8" s="10" t="s">
        <v>27</v>
      </c>
      <c r="C8" s="10">
        <v>46294</v>
      </c>
      <c r="D8" s="10" t="s">
        <v>31</v>
      </c>
      <c r="E8" s="11" t="s">
        <v>28</v>
      </c>
      <c r="F8" s="11" t="s">
        <v>29</v>
      </c>
      <c r="G8" s="12">
        <v>1140</v>
      </c>
      <c r="H8" s="12">
        <v>2000</v>
      </c>
      <c r="I8" s="12"/>
      <c r="J8" s="13">
        <v>37.450000000000003</v>
      </c>
      <c r="K8" s="13"/>
      <c r="L8" s="14"/>
      <c r="M8" s="15"/>
      <c r="N8" s="14"/>
      <c r="O8" s="15"/>
      <c r="P8" s="13"/>
      <c r="Q8" s="12"/>
      <c r="R8" s="10"/>
      <c r="S8" s="12"/>
      <c r="T8" s="16">
        <f>+IF(Table620[[#This Row],[Direction]]="Short",J8-P8,P8-J8)</f>
        <v>37.450000000000003</v>
      </c>
      <c r="U8" s="12">
        <f t="shared" si="0"/>
        <v>74690.672013000003</v>
      </c>
      <c r="V8" s="12"/>
      <c r="W8" s="12"/>
      <c r="X8" s="12">
        <f>+WEEKDAY(Table620[[#This Row],[Trade Date]],2)</f>
        <v>4</v>
      </c>
      <c r="Y8" s="17">
        <f>IFERROR(+U8/SUMIFS(#REF!,#REF!,1,Table620[Instrument],Table620[[#This Row],[Instrument]],Table620[Trade Date],Table620[[#This Row],[Trade Date]])*2,0)</f>
        <v>0</v>
      </c>
      <c r="Z8" s="12">
        <f>+(Table620[[#This Row],[Qty]]*(Table620[[#This Row],[Entry]]+Table620[[#This Row],[Exit]]))*0.119263%</f>
        <v>89.327986999999993</v>
      </c>
      <c r="AA8" s="12">
        <f>+IF(Table620[[#This Row],[Qty]]=0,0,IF(Table620[[#This Row],[Exit]]=0,((ROUNDUP(IF(Table620[[#This Row],[Instrument]]="Sensex",Table620[[#This Row],[Qty]]/1000,Table620[[#This Row],[Qty]]/1800),0)*40*2)-40),ROUNDUP(IF(Table620[[#This Row],[Instrument]]="Sensex",Table620[[#This Row],[Qty]]/1000,Table620[[#This Row],[Qty]]/1800),0)*40*2))</f>
        <v>120</v>
      </c>
    </row>
    <row r="9" spans="1:42" x14ac:dyDescent="0.3">
      <c r="A9" s="18">
        <v>46254</v>
      </c>
      <c r="B9" s="18" t="s">
        <v>27</v>
      </c>
      <c r="C9" s="18">
        <v>46294</v>
      </c>
      <c r="D9" s="18" t="s">
        <v>31</v>
      </c>
      <c r="E9" s="19" t="s">
        <v>30</v>
      </c>
      <c r="F9" s="19" t="s">
        <v>29</v>
      </c>
      <c r="G9" s="20">
        <v>1140</v>
      </c>
      <c r="H9" s="20">
        <f t="shared" ref="H9:H21" si="2">+H8</f>
        <v>2000</v>
      </c>
      <c r="I9" s="20">
        <f>+Table620[[#This Row],[Qty]]*Table620[[#This Row],[Strike]]</f>
        <v>2280000</v>
      </c>
      <c r="J9" s="21">
        <v>41.5</v>
      </c>
      <c r="K9" s="21">
        <f>+J8+Table620[[#This Row],[Entry]]</f>
        <v>78.95</v>
      </c>
      <c r="L9" s="22">
        <f>+(J8+Table620[[#This Row],[Entry]])*2</f>
        <v>157.9</v>
      </c>
      <c r="M9" s="23">
        <f>+(Table620[[#This Row],[Total]]-Table620[[#This Row],[SL]])*Table620[[#This Row],[Qty]]</f>
        <v>-157900</v>
      </c>
      <c r="N9" s="22">
        <f>+(J8+Table620[[#This Row],[Entry]])*0.5</f>
        <v>39.475000000000001</v>
      </c>
      <c r="O9" s="23">
        <f>+(Table620[[#This Row],[Total]]-Table620[[#This Row],[TP]])*Table620[[#This Row],[Qty]]</f>
        <v>78950</v>
      </c>
      <c r="P9" s="21"/>
      <c r="Q9" s="20"/>
      <c r="R9" s="18"/>
      <c r="S9" s="20"/>
      <c r="T9" s="24">
        <f>+IF(Table620[[#This Row],[Direction]]="Short",J9-P9,P9-J9)</f>
        <v>41.5</v>
      </c>
      <c r="U9" s="20">
        <f t="shared" si="0"/>
        <v>82781.011710000006</v>
      </c>
      <c r="V9" s="20"/>
      <c r="W9" s="20"/>
      <c r="X9" s="20">
        <f>+WEEKDAY(Table620[[#This Row],[Trade Date]],2)</f>
        <v>4</v>
      </c>
      <c r="Y9" s="25">
        <f>IFERROR(+U9/SUMIFS(#REF!,#REF!,1,Table620[Instrument],Table620[[#This Row],[Instrument]],Table620[Trade Date],Table620[[#This Row],[Trade Date]])*2,0)</f>
        <v>0</v>
      </c>
      <c r="Z9" s="20">
        <f>+(Table620[[#This Row],[Qty]]*(Table620[[#This Row],[Entry]]+Table620[[#This Row],[Exit]]))*0.119263%</f>
        <v>98.988289999999992</v>
      </c>
      <c r="AA9" s="20">
        <f>+IF(Table620[[#This Row],[Qty]]=0,0,IF(Table620[[#This Row],[Exit]]=0,((ROUNDUP(IF(Table620[[#This Row],[Instrument]]="Sensex",Table620[[#This Row],[Qty]]/1000,Table620[[#This Row],[Qty]]/1800),0)*40*2)-40),ROUNDUP(IF(Table620[[#This Row],[Instrument]]="Sensex",Table620[[#This Row],[Qty]]/1000,Table620[[#This Row],[Qty]]/1800),0)*40*2))</f>
        <v>120</v>
      </c>
    </row>
    <row r="10" spans="1:42" x14ac:dyDescent="0.3">
      <c r="A10" s="4">
        <v>46254</v>
      </c>
      <c r="B10" s="4" t="s">
        <v>27</v>
      </c>
      <c r="C10" s="4">
        <v>46294</v>
      </c>
      <c r="D10" s="4" t="s">
        <v>32</v>
      </c>
      <c r="E10" t="s">
        <v>28</v>
      </c>
      <c r="F10" t="s">
        <v>29</v>
      </c>
      <c r="G10" s="3">
        <v>270</v>
      </c>
      <c r="H10" s="3">
        <v>8625</v>
      </c>
      <c r="I10" s="3"/>
      <c r="J10" s="5">
        <v>5.7</v>
      </c>
      <c r="K10" s="5"/>
      <c r="L10" s="6"/>
      <c r="M10" s="7"/>
      <c r="N10" s="6"/>
      <c r="O10" s="7"/>
      <c r="P10" s="5"/>
      <c r="Q10" s="3"/>
      <c r="R10" s="4"/>
      <c r="S10" s="3"/>
      <c r="T10" s="8">
        <f>+IF(Table620[[#This Row],[Direction]]="Short",J10-P10,P10-J10)</f>
        <v>5.7</v>
      </c>
      <c r="U10" s="3">
        <f t="shared" si="0"/>
        <v>48743.867327624997</v>
      </c>
      <c r="V10" s="3"/>
      <c r="W10" s="3"/>
      <c r="X10" s="3">
        <f>+WEEKDAY(Table620[[#This Row],[Trade Date]],2)</f>
        <v>4</v>
      </c>
      <c r="Y10" s="9">
        <f>IFERROR(+U10/SUMIFS(#REF!,#REF!,1,Table620[Instrument],Table620[[#This Row],[Instrument]],Table620[Trade Date],Table620[[#This Row],[Trade Date]])*2,0)</f>
        <v>0</v>
      </c>
      <c r="Z10" s="3">
        <f>+(Table620[[#This Row],[Qty]]*(Table620[[#This Row],[Entry]]+Table620[[#This Row],[Exit]]))*0.119263%</f>
        <v>58.632672374999991</v>
      </c>
      <c r="AA10" s="3">
        <f>+IF(Table620[[#This Row],[Qty]]=0,0,IF(Table620[[#This Row],[Exit]]=0,((ROUNDUP(IF(Table620[[#This Row],[Instrument]]="Sensex",Table620[[#This Row],[Qty]]/1000,Table620[[#This Row],[Qty]]/1800),0)*40*2)-40),ROUNDUP(IF(Table620[[#This Row],[Instrument]]="Sensex",Table620[[#This Row],[Qty]]/1000,Table620[[#This Row],[Qty]]/1800),0)*40*2))</f>
        <v>360</v>
      </c>
    </row>
    <row r="11" spans="1:42" x14ac:dyDescent="0.3">
      <c r="A11" s="4">
        <v>46254</v>
      </c>
      <c r="B11" s="4" t="s">
        <v>27</v>
      </c>
      <c r="C11" s="4">
        <v>46294</v>
      </c>
      <c r="D11" s="4" t="s">
        <v>32</v>
      </c>
      <c r="E11" t="s">
        <v>30</v>
      </c>
      <c r="F11" t="s">
        <v>29</v>
      </c>
      <c r="G11" s="3">
        <f>+G10</f>
        <v>270</v>
      </c>
      <c r="H11" s="3">
        <f t="shared" si="2"/>
        <v>8625</v>
      </c>
      <c r="I11" s="3">
        <f>+Table620[[#This Row],[Qty]]*Table620[[#This Row],[Strike]]</f>
        <v>2328750</v>
      </c>
      <c r="J11" s="5">
        <v>6.36</v>
      </c>
      <c r="K11" s="5">
        <f>+J10+Table620[[#This Row],[Entry]]</f>
        <v>12.06</v>
      </c>
      <c r="L11" s="6">
        <f>+(J10+Table620[[#This Row],[Entry]])*2</f>
        <v>24.12</v>
      </c>
      <c r="M11" s="7">
        <f>+(Table620[[#This Row],[Total]]-Table620[[#This Row],[SL]])*Table620[[#This Row],[Qty]]</f>
        <v>-104017.5</v>
      </c>
      <c r="N11" s="6">
        <f>+(J10+Table620[[#This Row],[Entry]])*0.5</f>
        <v>6.03</v>
      </c>
      <c r="O11" s="7">
        <f>+(Table620[[#This Row],[Total]]-Table620[[#This Row],[TP]])*Table620[[#This Row],[Qty]]</f>
        <v>52008.75</v>
      </c>
      <c r="P11" s="5"/>
      <c r="Q11" s="3"/>
      <c r="R11" s="4"/>
      <c r="S11" s="3"/>
      <c r="T11" s="8">
        <f>+IF(Table620[[#This Row],[Direction]]="Short",J11-P11,P11-J11)</f>
        <v>6.36</v>
      </c>
      <c r="U11" s="3">
        <f t="shared" si="0"/>
        <v>54429.578281349997</v>
      </c>
      <c r="V11" s="3"/>
      <c r="W11" s="3"/>
      <c r="X11" s="3">
        <f>+WEEKDAY(Table620[[#This Row],[Trade Date]],2)</f>
        <v>4</v>
      </c>
      <c r="Y11" s="9">
        <f>IFERROR(+U11/SUMIFS(#REF!,#REF!,1,Table620[Instrument],Table620[[#This Row],[Instrument]],Table620[Trade Date],Table620[[#This Row],[Trade Date]])*2,0)</f>
        <v>0</v>
      </c>
      <c r="Z11" s="3">
        <f>+(Table620[[#This Row],[Qty]]*(Table620[[#This Row],[Entry]]+Table620[[#This Row],[Exit]]))*0.119263%</f>
        <v>65.421718649999988</v>
      </c>
      <c r="AA11" s="3">
        <f>+IF(Table620[[#This Row],[Qty]]=0,0,IF(Table620[[#This Row],[Exit]]=0,((ROUNDUP(IF(Table620[[#This Row],[Instrument]]="Sensex",Table620[[#This Row],[Qty]]/1000,Table620[[#This Row],[Qty]]/1800),0)*40*2)-40),ROUNDUP(IF(Table620[[#This Row],[Instrument]]="Sensex",Table620[[#This Row],[Qty]]/1000,Table620[[#This Row],[Qty]]/1800),0)*40*2))</f>
        <v>360</v>
      </c>
      <c r="AD11" s="8"/>
      <c r="AE11" s="8"/>
    </row>
    <row r="12" spans="1:42" x14ac:dyDescent="0.3">
      <c r="A12" s="10">
        <v>46254</v>
      </c>
      <c r="B12" s="10" t="s">
        <v>27</v>
      </c>
      <c r="C12" s="10">
        <v>46294</v>
      </c>
      <c r="D12" s="10" t="s">
        <v>33</v>
      </c>
      <c r="E12" s="11" t="s">
        <v>28</v>
      </c>
      <c r="F12" s="11" t="s">
        <v>29</v>
      </c>
      <c r="G12" s="12">
        <v>4100</v>
      </c>
      <c r="H12" s="12">
        <v>875</v>
      </c>
      <c r="I12" s="12"/>
      <c r="J12" s="13">
        <v>96</v>
      </c>
      <c r="K12" s="13"/>
      <c r="L12" s="14"/>
      <c r="M12" s="15"/>
      <c r="N12" s="14"/>
      <c r="O12" s="15"/>
      <c r="P12" s="13"/>
      <c r="Q12" s="12"/>
      <c r="R12" s="10"/>
      <c r="S12" s="12"/>
      <c r="T12" s="16">
        <f>+IF(Table620[[#This Row],[Direction]]="Short",J12-P12,P12-J12)</f>
        <v>96</v>
      </c>
      <c r="U12" s="12">
        <f t="shared" si="0"/>
        <v>83859.819080000001</v>
      </c>
      <c r="V12" s="12"/>
      <c r="W12" s="12"/>
      <c r="X12" s="12">
        <f>+WEEKDAY(Table620[[#This Row],[Trade Date]],2)</f>
        <v>4</v>
      </c>
      <c r="Y12" s="17">
        <f>IFERROR(+U12/SUMIFS(#REF!,#REF!,1,Table620[Instrument],Table620[[#This Row],[Instrument]],Table620[Trade Date],Table620[[#This Row],[Trade Date]])*2,0)</f>
        <v>0</v>
      </c>
      <c r="Z12" s="12">
        <f>+(Table620[[#This Row],[Qty]]*(Table620[[#This Row],[Entry]]+Table620[[#This Row],[Exit]]))*0.119263%</f>
        <v>100.18091999999999</v>
      </c>
      <c r="AA12" s="12">
        <f>+IF(Table620[[#This Row],[Qty]]=0,0,IF(Table620[[#This Row],[Exit]]=0,((ROUNDUP(IF(Table620[[#This Row],[Instrument]]="Sensex",Table620[[#This Row],[Qty]]/1000,Table620[[#This Row],[Qty]]/1800),0)*40*2)-40),ROUNDUP(IF(Table620[[#This Row],[Instrument]]="Sensex",Table620[[#This Row],[Qty]]/1000,Table620[[#This Row],[Qty]]/1800),0)*40*2))</f>
        <v>40</v>
      </c>
      <c r="AD12" s="8"/>
      <c r="AE12" s="8"/>
    </row>
    <row r="13" spans="1:42" x14ac:dyDescent="0.3">
      <c r="A13" s="18">
        <v>46254</v>
      </c>
      <c r="B13" s="18" t="s">
        <v>27</v>
      </c>
      <c r="C13" s="18">
        <v>46294</v>
      </c>
      <c r="D13" s="18" t="s">
        <v>33</v>
      </c>
      <c r="E13" s="19" t="s">
        <v>30</v>
      </c>
      <c r="F13" s="19" t="s">
        <v>29</v>
      </c>
      <c r="G13" s="20">
        <f>+G12</f>
        <v>4100</v>
      </c>
      <c r="H13" s="20">
        <f t="shared" si="2"/>
        <v>875</v>
      </c>
      <c r="I13" s="20">
        <f>+Table620[[#This Row],[Qty]]*Table620[[#This Row],[Strike]]</f>
        <v>3587500</v>
      </c>
      <c r="J13" s="21">
        <v>87.4</v>
      </c>
      <c r="K13" s="21">
        <f>+J12+Table620[[#This Row],[Entry]]</f>
        <v>183.4</v>
      </c>
      <c r="L13" s="22">
        <f>+(J12+Table620[[#This Row],[Entry]])*2</f>
        <v>366.8</v>
      </c>
      <c r="M13" s="23">
        <f>+(Table620[[#This Row],[Total]]-Table620[[#This Row],[SL]])*Table620[[#This Row],[Qty]]</f>
        <v>-160475</v>
      </c>
      <c r="N13" s="22">
        <f>+(J12+Table620[[#This Row],[Entry]])*0.5</f>
        <v>91.7</v>
      </c>
      <c r="O13" s="23">
        <f>+(Table620[[#This Row],[Total]]-Table620[[#This Row],[TP]])*Table620[[#This Row],[Qty]]</f>
        <v>80237.5</v>
      </c>
      <c r="P13" s="21"/>
      <c r="Q13" s="20"/>
      <c r="R13" s="18"/>
      <c r="S13" s="20"/>
      <c r="T13" s="24">
        <f>+IF(Table620[[#This Row],[Direction]]="Short",J13-P13,P13-J13)</f>
        <v>87.4</v>
      </c>
      <c r="U13" s="20">
        <f t="shared" si="0"/>
        <v>76343.793620750002</v>
      </c>
      <c r="V13" s="20"/>
      <c r="W13" s="20"/>
      <c r="X13" s="20">
        <f>+WEEKDAY(Table620[[#This Row],[Trade Date]],2)</f>
        <v>4</v>
      </c>
      <c r="Y13" s="25">
        <f>IFERROR(+U13/SUMIFS(#REF!,#REF!,1,Table620[Instrument],Table620[[#This Row],[Instrument]],Table620[Trade Date],Table620[[#This Row],[Trade Date]])*2,0)</f>
        <v>0</v>
      </c>
      <c r="Z13" s="20">
        <f>+(Table620[[#This Row],[Qty]]*(Table620[[#This Row],[Entry]]+Table620[[#This Row],[Exit]]))*0.119263%</f>
        <v>91.206379249999983</v>
      </c>
      <c r="AA13" s="20">
        <f>+IF(Table620[[#This Row],[Qty]]=0,0,IF(Table620[[#This Row],[Exit]]=0,((ROUNDUP(IF(Table620[[#This Row],[Instrument]]="Sensex",Table620[[#This Row],[Qty]]/1000,Table620[[#This Row],[Qty]]/1800),0)*40*2)-40),ROUNDUP(IF(Table620[[#This Row],[Instrument]]="Sensex",Table620[[#This Row],[Qty]]/1000,Table620[[#This Row],[Qty]]/1800),0)*40*2))</f>
        <v>40</v>
      </c>
      <c r="AD13" s="8"/>
      <c r="AE13" s="8"/>
    </row>
    <row r="14" spans="1:42" x14ac:dyDescent="0.3">
      <c r="A14" s="4">
        <v>46254</v>
      </c>
      <c r="B14" s="4" t="s">
        <v>27</v>
      </c>
      <c r="C14" s="4">
        <v>46294</v>
      </c>
      <c r="D14" s="4" t="s">
        <v>34</v>
      </c>
      <c r="E14" t="s">
        <v>28</v>
      </c>
      <c r="F14" t="s">
        <v>29</v>
      </c>
      <c r="G14" s="3">
        <v>2300</v>
      </c>
      <c r="H14" s="3">
        <v>1125</v>
      </c>
      <c r="I14" s="3"/>
      <c r="J14" s="5">
        <v>78</v>
      </c>
      <c r="K14" s="5"/>
      <c r="L14" s="6"/>
      <c r="M14" s="7"/>
      <c r="N14" s="6"/>
      <c r="O14" s="7"/>
      <c r="P14" s="5"/>
      <c r="Q14" s="3"/>
      <c r="R14" s="4"/>
      <c r="S14" s="3"/>
      <c r="T14" s="8">
        <f>+IF(Table620[[#This Row],[Direction]]="Short",J14-P14,P14-J14)</f>
        <v>78</v>
      </c>
      <c r="U14" s="3">
        <f t="shared" si="0"/>
        <v>87605.346717499997</v>
      </c>
      <c r="V14" s="3"/>
      <c r="W14" s="3"/>
      <c r="X14" s="3">
        <f>+WEEKDAY(Table620[[#This Row],[Trade Date]],2)</f>
        <v>4</v>
      </c>
      <c r="Y14" s="9">
        <f>IFERROR(+U14/SUMIFS(#REF!,#REF!,1,Table620[Instrument],Table620[[#This Row],[Instrument]],Table620[Trade Date],Table620[[#This Row],[Trade Date]])*2,0)</f>
        <v>0</v>
      </c>
      <c r="Z14" s="3">
        <f>+(Table620[[#This Row],[Qty]]*(Table620[[#This Row],[Entry]]+Table620[[#This Row],[Exit]]))*0.119263%</f>
        <v>104.65328249999999</v>
      </c>
      <c r="AA14" s="3">
        <f>+IF(Table620[[#This Row],[Qty]]=0,0,IF(Table620[[#This Row],[Exit]]=0,((ROUNDUP(IF(Table620[[#This Row],[Instrument]]="Sensex",Table620[[#This Row],[Qty]]/1000,Table620[[#This Row],[Qty]]/1800),0)*40*2)-40),ROUNDUP(IF(Table620[[#This Row],[Instrument]]="Sensex",Table620[[#This Row],[Qty]]/1000,Table620[[#This Row],[Qty]]/1800),0)*40*2))</f>
        <v>40</v>
      </c>
      <c r="AE14" s="8"/>
      <c r="AF14" s="8"/>
    </row>
    <row r="15" spans="1:42" x14ac:dyDescent="0.3">
      <c r="A15" s="4">
        <v>46254</v>
      </c>
      <c r="B15" s="4" t="s">
        <v>27</v>
      </c>
      <c r="C15" s="4">
        <v>46294</v>
      </c>
      <c r="D15" s="4" t="s">
        <v>34</v>
      </c>
      <c r="E15" t="s">
        <v>30</v>
      </c>
      <c r="F15" t="s">
        <v>29</v>
      </c>
      <c r="G15" s="3">
        <f>+G14</f>
        <v>2300</v>
      </c>
      <c r="H15" s="3">
        <f t="shared" si="2"/>
        <v>1125</v>
      </c>
      <c r="I15" s="3">
        <f>+Table620[[#This Row],[Qty]]*Table620[[#This Row],[Strike]]</f>
        <v>2587500</v>
      </c>
      <c r="J15" s="5">
        <v>72.95</v>
      </c>
      <c r="K15" s="5">
        <f>+J14+Table620[[#This Row],[Entry]]</f>
        <v>150.94999999999999</v>
      </c>
      <c r="L15" s="6">
        <f>+(J14+Table620[[#This Row],[Entry]])*2</f>
        <v>301.89999999999998</v>
      </c>
      <c r="M15" s="7">
        <f>+(Table620[[#This Row],[Total]]-Table620[[#This Row],[SL]])*Table620[[#This Row],[Qty]]</f>
        <v>-169818.75</v>
      </c>
      <c r="N15" s="6">
        <f>+(J14+Table620[[#This Row],[Entry]])*0.5</f>
        <v>75.474999999999994</v>
      </c>
      <c r="O15" s="7">
        <f>+(Table620[[#This Row],[Total]]-Table620[[#This Row],[TP]])*Table620[[#This Row],[Qty]]</f>
        <v>84909.375</v>
      </c>
      <c r="P15" s="5"/>
      <c r="Q15" s="3"/>
      <c r="R15" s="4"/>
      <c r="S15" s="3"/>
      <c r="T15" s="8">
        <f>+IF(Table620[[#This Row],[Direction]]="Short",J15-P15,P15-J15)</f>
        <v>72.95</v>
      </c>
      <c r="U15" s="3">
        <f t="shared" si="0"/>
        <v>81930.872346687494</v>
      </c>
      <c r="V15" s="3"/>
      <c r="W15" s="3"/>
      <c r="X15" s="3">
        <f>+WEEKDAY(Table620[[#This Row],[Trade Date]],2)</f>
        <v>4</v>
      </c>
      <c r="Y15" s="9">
        <f>IFERROR(+U15/SUMIFS(#REF!,#REF!,1,Table620[Instrument],Table620[[#This Row],[Instrument]],Table620[Trade Date],Table620[[#This Row],[Trade Date]])*2,0)</f>
        <v>0</v>
      </c>
      <c r="Z15" s="3">
        <f>+(Table620[[#This Row],[Qty]]*(Table620[[#This Row],[Entry]]+Table620[[#This Row],[Exit]]))*0.119263%</f>
        <v>97.877653312499987</v>
      </c>
      <c r="AA15" s="3">
        <f>+IF(Table620[[#This Row],[Qty]]=0,0,IF(Table620[[#This Row],[Exit]]=0,((ROUNDUP(IF(Table620[[#This Row],[Instrument]]="Sensex",Table620[[#This Row],[Qty]]/1000,Table620[[#This Row],[Qty]]/1800),0)*40*2)-40),ROUNDUP(IF(Table620[[#This Row],[Instrument]]="Sensex",Table620[[#This Row],[Qty]]/1000,Table620[[#This Row],[Qty]]/1800),0)*40*2))</f>
        <v>40</v>
      </c>
      <c r="AE15" s="8"/>
      <c r="AF15" s="8"/>
    </row>
    <row r="16" spans="1:42" x14ac:dyDescent="0.3">
      <c r="A16" s="10">
        <v>46254</v>
      </c>
      <c r="B16" s="10" t="s">
        <v>27</v>
      </c>
      <c r="C16" s="10">
        <v>46294</v>
      </c>
      <c r="D16" s="10" t="s">
        <v>38</v>
      </c>
      <c r="E16" s="11" t="s">
        <v>28</v>
      </c>
      <c r="F16" s="11" t="s">
        <v>29</v>
      </c>
      <c r="G16" s="12">
        <v>1260</v>
      </c>
      <c r="H16" s="12">
        <v>3125</v>
      </c>
      <c r="I16" s="12"/>
      <c r="J16" s="13">
        <v>31.4</v>
      </c>
      <c r="K16" s="13"/>
      <c r="L16" s="14"/>
      <c r="M16" s="15"/>
      <c r="N16" s="14"/>
      <c r="O16" s="15"/>
      <c r="P16" s="13"/>
      <c r="Q16" s="12"/>
      <c r="R16" s="10"/>
      <c r="S16" s="12"/>
      <c r="T16" s="16">
        <f>+IF(Table620[[#This Row],[Direction]]="Short",J16-P16,P16-J16)</f>
        <v>31.4</v>
      </c>
      <c r="U16" s="12">
        <f t="shared" si="0"/>
        <v>97887.973181249996</v>
      </c>
      <c r="V16" s="12"/>
      <c r="W16" s="12"/>
      <c r="X16" s="12">
        <f>+WEEKDAY(Table620[[#This Row],[Trade Date]],2)</f>
        <v>4</v>
      </c>
      <c r="Y16" s="17">
        <f>IFERROR(+U16/SUMIFS(#REF!,#REF!,1,Table620[Instrument],Table620[[#This Row],[Instrument]],Table620[Trade Date],Table620[[#This Row],[Trade Date]])*2,0)</f>
        <v>0</v>
      </c>
      <c r="Z16" s="12">
        <f>+(Table620[[#This Row],[Qty]]*(Table620[[#This Row],[Entry]]+Table620[[#This Row],[Exit]]))*0.119263%</f>
        <v>117.02681874999999</v>
      </c>
      <c r="AA16" s="12">
        <f>+IF(Table620[[#This Row],[Qty]]=0,0,IF(Table620[[#This Row],[Exit]]=0,((ROUNDUP(IF(Table620[[#This Row],[Instrument]]="Sensex",Table620[[#This Row],[Qty]]/1000,Table620[[#This Row],[Qty]]/1800),0)*40*2)-40),ROUNDUP(IF(Table620[[#This Row],[Instrument]]="Sensex",Table620[[#This Row],[Qty]]/1000,Table620[[#This Row],[Qty]]/1800),0)*40*2))</f>
        <v>120</v>
      </c>
      <c r="AM16" s="26"/>
      <c r="AO16" s="8"/>
      <c r="AP16" s="8"/>
    </row>
    <row r="17" spans="1:42" x14ac:dyDescent="0.3">
      <c r="A17" s="18">
        <v>46254</v>
      </c>
      <c r="B17" s="18" t="s">
        <v>27</v>
      </c>
      <c r="C17" s="18">
        <v>46294</v>
      </c>
      <c r="D17" s="18" t="s">
        <v>38</v>
      </c>
      <c r="E17" s="19" t="s">
        <v>30</v>
      </c>
      <c r="F17" s="19" t="s">
        <v>29</v>
      </c>
      <c r="G17" s="20">
        <f>+G16</f>
        <v>1260</v>
      </c>
      <c r="H17" s="20">
        <f t="shared" si="2"/>
        <v>3125</v>
      </c>
      <c r="I17" s="20">
        <f>+Table620[[#This Row],[Qty]]*Table620[[#This Row],[Strike]]</f>
        <v>3937500</v>
      </c>
      <c r="J17" s="21">
        <v>30.5</v>
      </c>
      <c r="K17" s="21">
        <f>+J16+Table620[[#This Row],[Entry]]</f>
        <v>61.9</v>
      </c>
      <c r="L17" s="22">
        <f>+(J16+Table620[[#This Row],[Entry]])*2</f>
        <v>123.8</v>
      </c>
      <c r="M17" s="23">
        <f>+(Table620[[#This Row],[Total]]-Table620[[#This Row],[SL]])*Table620[[#This Row],[Qty]]</f>
        <v>-193437.5</v>
      </c>
      <c r="N17" s="22">
        <f>+(J16+Table620[[#This Row],[Entry]])*0.5</f>
        <v>30.95</v>
      </c>
      <c r="O17" s="23">
        <f>+(Table620[[#This Row],[Total]]-Table620[[#This Row],[TP]])*Table620[[#This Row],[Qty]]</f>
        <v>96718.75</v>
      </c>
      <c r="P17" s="21"/>
      <c r="Q17" s="20"/>
      <c r="R17" s="18"/>
      <c r="S17" s="20"/>
      <c r="T17" s="24">
        <f>+IF(Table620[[#This Row],[Direction]]="Short",J17-P17,P17-J17)</f>
        <v>30.5</v>
      </c>
      <c r="U17" s="20">
        <f t="shared" si="0"/>
        <v>95078.827453125006</v>
      </c>
      <c r="V17" s="20"/>
      <c r="W17" s="20"/>
      <c r="X17" s="20">
        <f>+WEEKDAY(Table620[[#This Row],[Trade Date]],2)</f>
        <v>4</v>
      </c>
      <c r="Y17" s="25">
        <f>IFERROR(+U17/SUMIFS(#REF!,#REF!,1,Table620[Instrument],Table620[[#This Row],[Instrument]],Table620[Trade Date],Table620[[#This Row],[Trade Date]])*2,0)</f>
        <v>0</v>
      </c>
      <c r="Z17" s="20">
        <f>+(Table620[[#This Row],[Qty]]*(Table620[[#This Row],[Entry]]+Table620[[#This Row],[Exit]]))*0.119263%</f>
        <v>113.67254687499998</v>
      </c>
      <c r="AA17" s="20">
        <f>+IF(Table620[[#This Row],[Qty]]=0,0,IF(Table620[[#This Row],[Exit]]=0,((ROUNDUP(IF(Table620[[#This Row],[Instrument]]="Sensex",Table620[[#This Row],[Qty]]/1000,Table620[[#This Row],[Qty]]/1800),0)*40*2)-40),ROUNDUP(IF(Table620[[#This Row],[Instrument]]="Sensex",Table620[[#This Row],[Qty]]/1000,Table620[[#This Row],[Qty]]/1800),0)*40*2))</f>
        <v>120</v>
      </c>
      <c r="AM17" s="3"/>
      <c r="AN17" s="26"/>
      <c r="AP17" s="8"/>
    </row>
    <row r="18" spans="1:42" x14ac:dyDescent="0.3">
      <c r="A18" s="4">
        <v>46254</v>
      </c>
      <c r="B18" s="4" t="s">
        <v>27</v>
      </c>
      <c r="C18" s="4">
        <v>46294</v>
      </c>
      <c r="D18" s="4" t="s">
        <v>35</v>
      </c>
      <c r="E18" t="s">
        <v>28</v>
      </c>
      <c r="F18" t="s">
        <v>29</v>
      </c>
      <c r="G18" s="3">
        <v>1050</v>
      </c>
      <c r="H18" s="3">
        <v>3750</v>
      </c>
      <c r="I18" s="3"/>
      <c r="J18" s="5">
        <v>31</v>
      </c>
      <c r="K18" s="5"/>
      <c r="L18" s="6"/>
      <c r="M18" s="7"/>
      <c r="N18" s="6"/>
      <c r="O18" s="7"/>
      <c r="P18" s="5"/>
      <c r="Q18" s="3"/>
      <c r="R18" s="4"/>
      <c r="S18" s="3"/>
      <c r="T18" s="8">
        <f>+IF(Table620[[#This Row],[Direction]]="Short",J18-P18,P18-J18)</f>
        <v>31</v>
      </c>
      <c r="U18" s="3">
        <f t="shared" si="0"/>
        <v>115911.3567625</v>
      </c>
      <c r="V18" s="3"/>
      <c r="W18" s="3"/>
      <c r="X18" s="3">
        <f>+WEEKDAY(Table620[[#This Row],[Trade Date]],2)</f>
        <v>4</v>
      </c>
      <c r="Y18" s="9">
        <f>IFERROR(+U18/SUMIFS(#REF!,#REF!,1,Table620[Instrument],Table620[[#This Row],[Instrument]],Table620[Trade Date],Table620[[#This Row],[Trade Date]])*2,0)</f>
        <v>0</v>
      </c>
      <c r="Z18" s="3">
        <f>+(Table620[[#This Row],[Qty]]*(Table620[[#This Row],[Entry]]+Table620[[#This Row],[Exit]]))*0.119263%</f>
        <v>138.6432375</v>
      </c>
      <c r="AA18" s="3">
        <f>+IF(Table620[[#This Row],[Qty]]=0,0,IF(Table620[[#This Row],[Exit]]=0,((ROUNDUP(IF(Table620[[#This Row],[Instrument]]="Sensex",Table620[[#This Row],[Qty]]/1000,Table620[[#This Row],[Qty]]/1800),0)*40*2)-40),ROUNDUP(IF(Table620[[#This Row],[Instrument]]="Sensex",Table620[[#This Row],[Qty]]/1000,Table620[[#This Row],[Qty]]/1800),0)*40*2))</f>
        <v>200</v>
      </c>
      <c r="AM18" s="3"/>
      <c r="AN18" s="26"/>
      <c r="AP18" s="8"/>
    </row>
    <row r="19" spans="1:42" x14ac:dyDescent="0.3">
      <c r="A19" s="4">
        <v>46254</v>
      </c>
      <c r="B19" s="4" t="s">
        <v>27</v>
      </c>
      <c r="C19" s="4">
        <v>46294</v>
      </c>
      <c r="D19" s="4" t="s">
        <v>35</v>
      </c>
      <c r="E19" t="s">
        <v>30</v>
      </c>
      <c r="F19" t="s">
        <v>29</v>
      </c>
      <c r="G19" s="3">
        <f>+G18</f>
        <v>1050</v>
      </c>
      <c r="H19" s="3">
        <f t="shared" si="2"/>
        <v>3750</v>
      </c>
      <c r="I19" s="3">
        <f>+Table620[[#This Row],[Qty]]*Table620[[#This Row],[Strike]]</f>
        <v>3937500</v>
      </c>
      <c r="J19" s="5">
        <v>23.8</v>
      </c>
      <c r="K19" s="5">
        <f>+J18+Table620[[#This Row],[Entry]]</f>
        <v>54.8</v>
      </c>
      <c r="L19" s="6">
        <f>+(J18+Table620[[#This Row],[Entry]])*2</f>
        <v>109.6</v>
      </c>
      <c r="M19" s="7">
        <f>+(Table620[[#This Row],[Total]]-Table620[[#This Row],[SL]])*Table620[[#This Row],[Qty]]</f>
        <v>-205500</v>
      </c>
      <c r="N19" s="6">
        <f>+(J18+Table620[[#This Row],[Entry]])*0.5</f>
        <v>27.4</v>
      </c>
      <c r="O19" s="7">
        <f>+(Table620[[#This Row],[Total]]-Table620[[#This Row],[TP]])*Table620[[#This Row],[Qty]]</f>
        <v>102750</v>
      </c>
      <c r="P19" s="5"/>
      <c r="Q19" s="3"/>
      <c r="R19" s="4"/>
      <c r="S19" s="3"/>
      <c r="T19" s="8">
        <f>+IF(Table620[[#This Row],[Direction]]="Short",J19-P19,P19-J19)</f>
        <v>23.8</v>
      </c>
      <c r="U19" s="3">
        <f t="shared" si="0"/>
        <v>88943.557772500004</v>
      </c>
      <c r="V19" s="3"/>
      <c r="W19" s="3"/>
      <c r="X19" s="3">
        <f>+WEEKDAY(Table620[[#This Row],[Trade Date]],2)</f>
        <v>4</v>
      </c>
      <c r="Y19" s="9">
        <f>IFERROR(+U19/SUMIFS(#REF!,#REF!,1,Table620[Instrument],Table620[[#This Row],[Instrument]],Table620[Trade Date],Table620[[#This Row],[Trade Date]])*2,0)</f>
        <v>0</v>
      </c>
      <c r="Z19" s="3">
        <f>+(Table620[[#This Row],[Qty]]*(Table620[[#This Row],[Entry]]+Table620[[#This Row],[Exit]]))*0.119263%</f>
        <v>106.44222749999999</v>
      </c>
      <c r="AA19" s="3">
        <f>+IF(Table620[[#This Row],[Qty]]=0,0,IF(Table620[[#This Row],[Exit]]=0,((ROUNDUP(IF(Table620[[#This Row],[Instrument]]="Sensex",Table620[[#This Row],[Qty]]/1000,Table620[[#This Row],[Qty]]/1800),0)*40*2)-40),ROUNDUP(IF(Table620[[#This Row],[Instrument]]="Sensex",Table620[[#This Row],[Qty]]/1000,Table620[[#This Row],[Qty]]/1800),0)*40*2))</f>
        <v>200</v>
      </c>
      <c r="AM19" s="3"/>
      <c r="AN19" s="26"/>
      <c r="AP19" s="8"/>
    </row>
    <row r="20" spans="1:42" x14ac:dyDescent="0.3">
      <c r="A20" s="10">
        <v>46254</v>
      </c>
      <c r="B20" s="10" t="s">
        <v>27</v>
      </c>
      <c r="C20" s="10">
        <v>46294</v>
      </c>
      <c r="D20" s="10" t="s">
        <v>40</v>
      </c>
      <c r="E20" s="11" t="s">
        <v>28</v>
      </c>
      <c r="F20" s="11" t="s">
        <v>29</v>
      </c>
      <c r="G20" s="12">
        <v>1960</v>
      </c>
      <c r="H20" s="12">
        <v>2375</v>
      </c>
      <c r="I20" s="12"/>
      <c r="J20" s="13">
        <v>39.450000000000003</v>
      </c>
      <c r="K20" s="13"/>
      <c r="L20" s="14"/>
      <c r="M20" s="15"/>
      <c r="N20" s="14"/>
      <c r="O20" s="15"/>
      <c r="P20" s="13"/>
      <c r="Q20" s="12"/>
      <c r="R20" s="10"/>
      <c r="S20" s="12"/>
      <c r="T20" s="16">
        <f>+IF(Table620[[#This Row],[Direction]]="Short",J20-P20,P20-J20)</f>
        <v>39.450000000000003</v>
      </c>
      <c r="U20" s="12">
        <f t="shared" si="0"/>
        <v>93462.008022937502</v>
      </c>
      <c r="V20" s="12"/>
      <c r="W20" s="12"/>
      <c r="X20" s="12">
        <f>+WEEKDAY(Table620[[#This Row],[Trade Date]],2)</f>
        <v>4</v>
      </c>
      <c r="Y20" s="17">
        <f>IFERROR(+U20/SUMIFS(#REF!,#REF!,1,Table620[Instrument],Table620[[#This Row],[Instrument]],Table620[Trade Date],Table620[[#This Row],[Trade Date]])*2,0)</f>
        <v>0</v>
      </c>
      <c r="Z20" s="12">
        <f>+(Table620[[#This Row],[Qty]]*(Table620[[#This Row],[Entry]]+Table620[[#This Row],[Exit]]))*0.119263%</f>
        <v>111.74197706249998</v>
      </c>
      <c r="AA20" s="12">
        <f>+IF(Table620[[#This Row],[Qty]]=0,0,IF(Table620[[#This Row],[Exit]]=0,((ROUNDUP(IF(Table620[[#This Row],[Instrument]]="Sensex",Table620[[#This Row],[Qty]]/1000,Table620[[#This Row],[Qty]]/1800),0)*40*2)-40),ROUNDUP(IF(Table620[[#This Row],[Instrument]]="Sensex",Table620[[#This Row],[Qty]]/1000,Table620[[#This Row],[Qty]]/1800),0)*40*2))</f>
        <v>120</v>
      </c>
      <c r="AM20" s="3"/>
      <c r="AN20" s="26"/>
      <c r="AP20" s="8"/>
    </row>
    <row r="21" spans="1:42" x14ac:dyDescent="0.3">
      <c r="A21" s="18">
        <v>46254</v>
      </c>
      <c r="B21" s="18" t="s">
        <v>27</v>
      </c>
      <c r="C21" s="18">
        <v>46294</v>
      </c>
      <c r="D21" s="18" t="s">
        <v>40</v>
      </c>
      <c r="E21" s="19" t="s">
        <v>30</v>
      </c>
      <c r="F21" s="19" t="s">
        <v>29</v>
      </c>
      <c r="G21" s="20">
        <f>+G20</f>
        <v>1960</v>
      </c>
      <c r="H21" s="20">
        <f t="shared" si="2"/>
        <v>2375</v>
      </c>
      <c r="I21" s="20">
        <f>+Table620[[#This Row],[Qty]]*Table620[[#This Row],[Strike]]</f>
        <v>4655000</v>
      </c>
      <c r="J21" s="21">
        <v>41.5</v>
      </c>
      <c r="K21" s="21">
        <f>+J20+Table620[[#This Row],[Entry]]</f>
        <v>80.95</v>
      </c>
      <c r="L21" s="22">
        <f>+(J20+Table620[[#This Row],[Entry]])*2</f>
        <v>161.9</v>
      </c>
      <c r="M21" s="23">
        <f>+(Table620[[#This Row],[Total]]-Table620[[#This Row],[SL]])*Table620[[#This Row],[Qty]]</f>
        <v>-192256.25</v>
      </c>
      <c r="N21" s="22">
        <f>+(J20+Table620[[#This Row],[Entry]])*0.5</f>
        <v>40.475000000000001</v>
      </c>
      <c r="O21" s="23">
        <f>+(Table620[[#This Row],[Total]]-Table620[[#This Row],[TP]])*Table620[[#This Row],[Qty]]</f>
        <v>96128.125</v>
      </c>
      <c r="P21" s="21"/>
      <c r="Q21" s="20"/>
      <c r="R21" s="18"/>
      <c r="S21" s="20"/>
      <c r="T21" s="24">
        <f>+IF(Table620[[#This Row],[Direction]]="Short",J21-P21,P21-J21)</f>
        <v>41.5</v>
      </c>
      <c r="U21" s="20">
        <f t="shared" si="0"/>
        <v>98324.951405625005</v>
      </c>
      <c r="V21" s="20"/>
      <c r="W21" s="20"/>
      <c r="X21" s="20">
        <f>+WEEKDAY(Table620[[#This Row],[Trade Date]],2)</f>
        <v>4</v>
      </c>
      <c r="Y21" s="25">
        <f>IFERROR(+U21/SUMIFS(#REF!,#REF!,1,Table620[Instrument],Table620[[#This Row],[Instrument]],Table620[Trade Date],Table620[[#This Row],[Trade Date]])*2,0)</f>
        <v>0</v>
      </c>
      <c r="Z21" s="20">
        <f>+(Table620[[#This Row],[Qty]]*(Table620[[#This Row],[Entry]]+Table620[[#This Row],[Exit]]))*0.119263%</f>
        <v>117.54859437499999</v>
      </c>
      <c r="AA21" s="20">
        <f>+IF(Table620[[#This Row],[Qty]]=0,0,IF(Table620[[#This Row],[Exit]]=0,((ROUNDUP(IF(Table620[[#This Row],[Instrument]]="Sensex",Table620[[#This Row],[Qty]]/1000,Table620[[#This Row],[Qty]]/1800),0)*40*2)-40),ROUNDUP(IF(Table620[[#This Row],[Instrument]]="Sensex",Table620[[#This Row],[Qty]]/1000,Table620[[#This Row],[Qty]]/1800),0)*40*2))</f>
        <v>120</v>
      </c>
      <c r="AM21" s="3"/>
      <c r="AN21" s="26"/>
      <c r="AP21" s="8"/>
    </row>
    <row r="22" spans="1:42" x14ac:dyDescent="0.3">
      <c r="AL22" s="3"/>
      <c r="AM22" s="26"/>
      <c r="AO22" s="8"/>
    </row>
    <row r="23" spans="1:42" x14ac:dyDescent="0.3">
      <c r="AL23" s="3"/>
      <c r="AM23" s="26"/>
      <c r="AO23" s="8"/>
    </row>
    <row r="24" spans="1:42" x14ac:dyDescent="0.3">
      <c r="AL24" s="3"/>
      <c r="AM24" s="26"/>
      <c r="AO24" s="8"/>
    </row>
    <row r="25" spans="1:42" x14ac:dyDescent="0.3">
      <c r="AL25" s="3"/>
      <c r="AM25" s="26"/>
      <c r="AO25" s="8"/>
    </row>
    <row r="26" spans="1:42" x14ac:dyDescent="0.3">
      <c r="AL26" s="3"/>
      <c r="AM26" s="26"/>
      <c r="AO26" s="8"/>
    </row>
    <row r="27" spans="1:42" x14ac:dyDescent="0.3">
      <c r="AL27" s="3"/>
      <c r="AM27" s="26"/>
      <c r="AO27" s="8"/>
    </row>
    <row r="28" spans="1:42" x14ac:dyDescent="0.3">
      <c r="AL28" s="3"/>
      <c r="AM28" s="26"/>
      <c r="AO28" s="8"/>
    </row>
    <row r="29" spans="1:42" x14ac:dyDescent="0.3">
      <c r="AL29" s="3"/>
      <c r="AM29" s="26"/>
      <c r="AO29" s="8"/>
    </row>
    <row r="30" spans="1:42" x14ac:dyDescent="0.3">
      <c r="AM30" s="26"/>
      <c r="AO30" s="8"/>
      <c r="AP30" s="8"/>
    </row>
    <row r="31" spans="1:42" x14ac:dyDescent="0.3">
      <c r="AM31" s="26"/>
      <c r="AO31" s="8"/>
      <c r="AP31" s="8"/>
    </row>
    <row r="32" spans="1:42" x14ac:dyDescent="0.3">
      <c r="AM32" s="26"/>
      <c r="AO32" s="8"/>
      <c r="AP32" s="8"/>
    </row>
    <row r="33" spans="39:42" x14ac:dyDescent="0.3">
      <c r="AM33" s="26"/>
      <c r="AO33" s="8"/>
      <c r="AP33" s="8"/>
    </row>
    <row r="34" spans="39:42" x14ac:dyDescent="0.3">
      <c r="AM34" s="26"/>
      <c r="AO34" s="8"/>
      <c r="AP34" s="8"/>
    </row>
    <row r="35" spans="39:42" x14ac:dyDescent="0.3">
      <c r="AM35" s="26"/>
      <c r="AO35" s="8"/>
      <c r="AP35" s="8"/>
    </row>
    <row r="36" spans="39:42" x14ac:dyDescent="0.3">
      <c r="AM36" s="26"/>
      <c r="AO36" s="8"/>
      <c r="AP36" s="8"/>
    </row>
    <row r="37" spans="39:42" x14ac:dyDescent="0.3">
      <c r="AM37" s="26"/>
      <c r="AO37" s="8"/>
      <c r="AP37" s="8"/>
    </row>
    <row r="38" spans="39:42" x14ac:dyDescent="0.3">
      <c r="AM38" s="26"/>
      <c r="AO38" s="8"/>
      <c r="AP38" s="8"/>
    </row>
    <row r="39" spans="39:42" x14ac:dyDescent="0.3">
      <c r="AM39" s="26"/>
      <c r="AO39" s="8"/>
      <c r="AP39" s="8"/>
    </row>
    <row r="40" spans="39:42" x14ac:dyDescent="0.3">
      <c r="AM40" s="26"/>
      <c r="AO40" s="8"/>
      <c r="AP40" s="8"/>
    </row>
    <row r="41" spans="39:42" x14ac:dyDescent="0.3">
      <c r="AM41" s="26"/>
      <c r="AO41" s="8"/>
      <c r="AP41" s="8"/>
    </row>
    <row r="42" spans="39:42" x14ac:dyDescent="0.3">
      <c r="AM42" s="26"/>
      <c r="AO42" s="8"/>
      <c r="AP42" s="8"/>
    </row>
    <row r="43" spans="39:42" x14ac:dyDescent="0.3">
      <c r="AM43" s="26"/>
      <c r="AO43" s="8"/>
      <c r="AP43" s="8"/>
    </row>
    <row r="44" spans="39:42" x14ac:dyDescent="0.3">
      <c r="AM44" s="26"/>
      <c r="AO44" s="8"/>
      <c r="AP44" s="8"/>
    </row>
    <row r="45" spans="39:42" x14ac:dyDescent="0.3">
      <c r="AM45" s="26"/>
      <c r="AO45" s="8"/>
      <c r="AP45" s="8"/>
    </row>
    <row r="46" spans="39:42" x14ac:dyDescent="0.3">
      <c r="AM46" s="26"/>
      <c r="AO46" s="8"/>
      <c r="AP46" s="8"/>
    </row>
    <row r="47" spans="39:42" x14ac:dyDescent="0.3">
      <c r="AM47" s="26"/>
      <c r="AO47" s="8"/>
      <c r="AP47" s="8"/>
    </row>
    <row r="48" spans="39:42" x14ac:dyDescent="0.3">
      <c r="AM48" s="26"/>
      <c r="AO48" s="8"/>
      <c r="AP48" s="8"/>
    </row>
    <row r="49" spans="38:42" x14ac:dyDescent="0.3">
      <c r="AM49" s="26"/>
      <c r="AO49" s="8"/>
      <c r="AP49" s="8"/>
    </row>
    <row r="50" spans="38:42" x14ac:dyDescent="0.3">
      <c r="AM50" s="26"/>
      <c r="AO50" s="8"/>
      <c r="AP50" s="8"/>
    </row>
    <row r="51" spans="38:42" x14ac:dyDescent="0.3">
      <c r="AM51" s="26"/>
      <c r="AO51" s="8"/>
      <c r="AP51" s="8"/>
    </row>
    <row r="52" spans="38:42" x14ac:dyDescent="0.3">
      <c r="AM52" s="26"/>
      <c r="AO52" s="8"/>
      <c r="AP52" s="8"/>
    </row>
    <row r="53" spans="38:42" x14ac:dyDescent="0.3">
      <c r="AM53" s="26"/>
      <c r="AO53" s="8"/>
      <c r="AP53" s="8"/>
    </row>
    <row r="54" spans="38:42" x14ac:dyDescent="0.3">
      <c r="AM54" s="26"/>
      <c r="AO54" s="8"/>
      <c r="AP54" s="8"/>
    </row>
    <row r="55" spans="38:42" x14ac:dyDescent="0.3">
      <c r="AM55" s="26"/>
      <c r="AO55" s="8"/>
      <c r="AP55" s="8"/>
    </row>
    <row r="56" spans="38:42" x14ac:dyDescent="0.3">
      <c r="AM56" s="26"/>
      <c r="AO56" s="8"/>
      <c r="AP56" s="8"/>
    </row>
    <row r="57" spans="38:42" x14ac:dyDescent="0.3">
      <c r="AM57" s="26"/>
      <c r="AO57" s="8"/>
      <c r="AP57" s="8"/>
    </row>
    <row r="58" spans="38:42" x14ac:dyDescent="0.3">
      <c r="AM58" s="26"/>
      <c r="AO58" s="8"/>
      <c r="AP58" s="8"/>
    </row>
    <row r="59" spans="38:42" x14ac:dyDescent="0.3">
      <c r="AM59" s="26"/>
      <c r="AO59" s="8"/>
      <c r="AP59" s="8"/>
    </row>
    <row r="60" spans="38:42" x14ac:dyDescent="0.3">
      <c r="AM60" s="26"/>
      <c r="AO60" s="8"/>
      <c r="AP60" s="8"/>
    </row>
    <row r="61" spans="38:42" x14ac:dyDescent="0.3">
      <c r="AM61" s="26"/>
      <c r="AO61" s="8"/>
      <c r="AP61" s="8"/>
    </row>
    <row r="62" spans="38:42" x14ac:dyDescent="0.3">
      <c r="AM62" s="26"/>
      <c r="AO62" s="8"/>
      <c r="AP62" s="8"/>
    </row>
    <row r="63" spans="38:42" x14ac:dyDescent="0.3">
      <c r="AM63" s="26"/>
      <c r="AO63" s="8"/>
      <c r="AP63" s="8"/>
    </row>
    <row r="64" spans="38:42" x14ac:dyDescent="0.3">
      <c r="AL64" s="27"/>
      <c r="AM64" s="27"/>
      <c r="AO64" s="8"/>
      <c r="AP64" s="8"/>
    </row>
    <row r="65" spans="39:43" x14ac:dyDescent="0.3">
      <c r="AM65" s="27"/>
      <c r="AO65" s="8"/>
      <c r="AP65" s="8"/>
    </row>
    <row r="66" spans="39:43" x14ac:dyDescent="0.3">
      <c r="AM66" s="27"/>
      <c r="AN66" s="27"/>
      <c r="AP66" s="8"/>
      <c r="AQ66" s="8"/>
    </row>
    <row r="67" spans="39:43" x14ac:dyDescent="0.3">
      <c r="AN67" s="26"/>
      <c r="AP67" s="8"/>
      <c r="AQ67" s="8"/>
    </row>
    <row r="68" spans="39:43" x14ac:dyDescent="0.3">
      <c r="AN68" s="26"/>
      <c r="AP68" s="8"/>
      <c r="AQ68" s="8"/>
    </row>
    <row r="69" spans="39:43" x14ac:dyDescent="0.3">
      <c r="AN69" s="26"/>
      <c r="AP69" s="8"/>
      <c r="AQ69" s="8"/>
    </row>
    <row r="70" spans="39:43" x14ac:dyDescent="0.3">
      <c r="AN70" s="26"/>
      <c r="AP70" s="8"/>
      <c r="AQ70" s="8"/>
    </row>
    <row r="71" spans="39:43" x14ac:dyDescent="0.3">
      <c r="AN71" s="26"/>
      <c r="AP71" s="8"/>
      <c r="AQ71" s="8"/>
    </row>
    <row r="72" spans="39:43" x14ac:dyDescent="0.3">
      <c r="AN72" s="26"/>
      <c r="AP72" s="8"/>
      <c r="AQ72" s="8"/>
    </row>
    <row r="73" spans="39:43" x14ac:dyDescent="0.3">
      <c r="AN73" s="26"/>
      <c r="AP73" s="8"/>
      <c r="AQ73" s="8"/>
    </row>
    <row r="74" spans="39:43" x14ac:dyDescent="0.3">
      <c r="AN74" s="26"/>
      <c r="AP74" s="8"/>
      <c r="AQ74" s="8"/>
    </row>
    <row r="75" spans="39:43" x14ac:dyDescent="0.3">
      <c r="AN75" s="26"/>
      <c r="AP75" s="8"/>
      <c r="AQ75" s="8"/>
    </row>
    <row r="76" spans="39:43" x14ac:dyDescent="0.3">
      <c r="AN76" s="26"/>
      <c r="AP76" s="8"/>
      <c r="AQ76" s="8"/>
    </row>
    <row r="77" spans="39:43" x14ac:dyDescent="0.3">
      <c r="AN77" s="26"/>
      <c r="AP77" s="8"/>
      <c r="AQ77" s="8"/>
    </row>
    <row r="78" spans="39:43" x14ac:dyDescent="0.3">
      <c r="AN78" s="26"/>
      <c r="AP78" s="8"/>
      <c r="AQ78" s="8"/>
    </row>
    <row r="79" spans="39:43" x14ac:dyDescent="0.3">
      <c r="AN79" s="26"/>
      <c r="AP79" s="8"/>
      <c r="AQ79" s="8"/>
    </row>
    <row r="80" spans="39:43" x14ac:dyDescent="0.3">
      <c r="AN80" s="26"/>
      <c r="AP80" s="8"/>
      <c r="AQ80" s="8"/>
    </row>
    <row r="81" spans="40:43" x14ac:dyDescent="0.3">
      <c r="AN81" s="26"/>
      <c r="AP81" s="8"/>
      <c r="AQ81" s="8"/>
    </row>
    <row r="82" spans="40:43" x14ac:dyDescent="0.3">
      <c r="AN82" s="26"/>
      <c r="AP82" s="8"/>
      <c r="AQ82" s="8"/>
    </row>
    <row r="83" spans="40:43" x14ac:dyDescent="0.3">
      <c r="AN83" s="26"/>
      <c r="AP83" s="8"/>
      <c r="AQ83" s="8"/>
    </row>
    <row r="84" spans="40:43" x14ac:dyDescent="0.3">
      <c r="AN84" s="26"/>
      <c r="AP84" s="8"/>
      <c r="AQ84" s="8"/>
    </row>
    <row r="85" spans="40:43" x14ac:dyDescent="0.3">
      <c r="AN85" s="26"/>
      <c r="AP85" s="8"/>
      <c r="AQ85" s="8"/>
    </row>
    <row r="86" spans="40:43" x14ac:dyDescent="0.3">
      <c r="AN86" s="26"/>
      <c r="AP86" s="8"/>
      <c r="AQ86" s="8"/>
    </row>
    <row r="87" spans="40:43" x14ac:dyDescent="0.3">
      <c r="AN87" s="26"/>
      <c r="AP87" s="8"/>
      <c r="AQ87" s="8"/>
    </row>
    <row r="88" spans="40:43" x14ac:dyDescent="0.3">
      <c r="AN88" s="26"/>
      <c r="AP88" s="8"/>
      <c r="AQ88" s="8"/>
    </row>
    <row r="89" spans="40:43" x14ac:dyDescent="0.3">
      <c r="AN89" s="26"/>
      <c r="AP89" s="8"/>
      <c r="AQ89" s="8"/>
    </row>
    <row r="90" spans="40:43" x14ac:dyDescent="0.3">
      <c r="AN90" s="26"/>
      <c r="AP90" s="8"/>
      <c r="AQ90" s="8"/>
    </row>
    <row r="91" spans="40:43" x14ac:dyDescent="0.3">
      <c r="AN91" s="26"/>
      <c r="AP91" s="8"/>
      <c r="AQ91" s="8"/>
    </row>
    <row r="92" spans="40:43" x14ac:dyDescent="0.3">
      <c r="AN92" s="26"/>
      <c r="AP92" s="8"/>
      <c r="AQ92" s="8"/>
    </row>
    <row r="93" spans="40:43" x14ac:dyDescent="0.3">
      <c r="AN93" s="26"/>
      <c r="AP93" s="8"/>
      <c r="AQ93" s="8"/>
    </row>
    <row r="94" spans="40:43" x14ac:dyDescent="0.3">
      <c r="AN94" s="26"/>
      <c r="AP94" s="8"/>
      <c r="AQ94" s="8"/>
    </row>
    <row r="95" spans="40:43" x14ac:dyDescent="0.3">
      <c r="AN95" s="26"/>
      <c r="AP95" s="8"/>
      <c r="AQ95" s="8"/>
    </row>
    <row r="96" spans="40:43" x14ac:dyDescent="0.3">
      <c r="AN96" s="26"/>
      <c r="AP96" s="8"/>
      <c r="AQ96" s="8"/>
    </row>
    <row r="97" spans="40:43" x14ac:dyDescent="0.3">
      <c r="AN97" s="26"/>
      <c r="AP97" s="8"/>
      <c r="AQ97" s="8"/>
    </row>
    <row r="98" spans="40:43" x14ac:dyDescent="0.3">
      <c r="AN98" s="26"/>
      <c r="AP98" s="8"/>
      <c r="AQ98" s="8"/>
    </row>
    <row r="99" spans="40:43" x14ac:dyDescent="0.3">
      <c r="AN99" s="26"/>
      <c r="AP99" s="8"/>
      <c r="AQ99" s="8"/>
    </row>
    <row r="100" spans="40:43" x14ac:dyDescent="0.3">
      <c r="AN100" s="26"/>
      <c r="AP100" s="8"/>
      <c r="AQ100" s="8"/>
    </row>
    <row r="101" spans="40:43" x14ac:dyDescent="0.3">
      <c r="AN101" s="26"/>
      <c r="AP101" s="8"/>
      <c r="AQ101" s="8"/>
    </row>
    <row r="102" spans="40:43" x14ac:dyDescent="0.3">
      <c r="AN102" s="26"/>
      <c r="AP102" s="8"/>
      <c r="AQ102" s="8"/>
    </row>
    <row r="103" spans="40:43" x14ac:dyDescent="0.3">
      <c r="AN103" s="26"/>
      <c r="AP103" s="8"/>
      <c r="AQ103" s="8"/>
    </row>
    <row r="104" spans="40:43" x14ac:dyDescent="0.3">
      <c r="AN104" s="26"/>
      <c r="AP104" s="8"/>
      <c r="AQ104" s="8"/>
    </row>
    <row r="105" spans="40:43" x14ac:dyDescent="0.3">
      <c r="AN105" s="26"/>
      <c r="AP105" s="8"/>
      <c r="AQ105" s="8"/>
    </row>
    <row r="106" spans="40:43" x14ac:dyDescent="0.3">
      <c r="AN106" s="26"/>
      <c r="AP106" s="8"/>
      <c r="AQ106" s="8"/>
    </row>
    <row r="107" spans="40:43" x14ac:dyDescent="0.3">
      <c r="AN107" s="26"/>
      <c r="AP107" s="8"/>
      <c r="AQ107" s="8"/>
    </row>
    <row r="108" spans="40:43" x14ac:dyDescent="0.3">
      <c r="AN108" s="26"/>
      <c r="AP108" s="8"/>
      <c r="AQ108" s="8"/>
    </row>
    <row r="109" spans="40:43" x14ac:dyDescent="0.3">
      <c r="AN109" s="26"/>
      <c r="AP109" s="8"/>
      <c r="AQ109" s="8"/>
    </row>
    <row r="110" spans="40:43" x14ac:dyDescent="0.3">
      <c r="AN110" s="26"/>
      <c r="AP110" s="8"/>
      <c r="AQ110" s="8"/>
    </row>
    <row r="111" spans="40:43" x14ac:dyDescent="0.3">
      <c r="AN111" s="26"/>
      <c r="AP111" s="8"/>
      <c r="AQ111" s="8"/>
    </row>
    <row r="112" spans="40:43" x14ac:dyDescent="0.3">
      <c r="AN112" s="26"/>
      <c r="AP112" s="8"/>
      <c r="AQ112" s="8"/>
    </row>
    <row r="113" spans="40:43" x14ac:dyDescent="0.3">
      <c r="AN113" s="26"/>
      <c r="AP113" s="8"/>
      <c r="AQ113" s="8"/>
    </row>
    <row r="114" spans="40:43" x14ac:dyDescent="0.3">
      <c r="AN114" s="26"/>
      <c r="AP114" s="8"/>
      <c r="AQ114" s="8"/>
    </row>
    <row r="115" spans="40:43" x14ac:dyDescent="0.3">
      <c r="AN115" s="26"/>
      <c r="AP115" s="8"/>
      <c r="AQ115" s="8"/>
    </row>
    <row r="116" spans="40:43" x14ac:dyDescent="0.3">
      <c r="AN116" s="26"/>
      <c r="AP116" s="8"/>
      <c r="AQ116" s="8"/>
    </row>
    <row r="117" spans="40:43" x14ac:dyDescent="0.3">
      <c r="AN117" s="26"/>
      <c r="AP117" s="8"/>
      <c r="AQ117" s="8"/>
    </row>
    <row r="118" spans="40:43" x14ac:dyDescent="0.3">
      <c r="AN118" s="26"/>
      <c r="AP118" s="8"/>
      <c r="AQ118" s="8"/>
    </row>
    <row r="119" spans="40:43" x14ac:dyDescent="0.3">
      <c r="AN119" s="26"/>
      <c r="AP119" s="8"/>
      <c r="AQ119" s="8"/>
    </row>
    <row r="120" spans="40:43" x14ac:dyDescent="0.3">
      <c r="AN120" s="26"/>
      <c r="AP120" s="8"/>
      <c r="AQ120" s="8"/>
    </row>
    <row r="121" spans="40:43" x14ac:dyDescent="0.3">
      <c r="AN121" s="26"/>
      <c r="AP121" s="8"/>
      <c r="AQ121" s="8"/>
    </row>
    <row r="122" spans="40:43" x14ac:dyDescent="0.3">
      <c r="AN122" s="26"/>
      <c r="AP122" s="8"/>
      <c r="AQ122" s="8"/>
    </row>
    <row r="123" spans="40:43" x14ac:dyDescent="0.3">
      <c r="AN123" s="26"/>
      <c r="AP123" s="8"/>
      <c r="AQ123" s="8"/>
    </row>
    <row r="124" spans="40:43" x14ac:dyDescent="0.3">
      <c r="AN124" s="26"/>
      <c r="AP124" s="8"/>
      <c r="AQ124" s="8"/>
    </row>
    <row r="125" spans="40:43" x14ac:dyDescent="0.3">
      <c r="AN125" s="26"/>
      <c r="AP125" s="8"/>
      <c r="AQ125" s="8"/>
    </row>
    <row r="126" spans="40:43" x14ac:dyDescent="0.3">
      <c r="AN126" s="26"/>
      <c r="AP126" s="8"/>
      <c r="AQ126" s="8"/>
    </row>
    <row r="127" spans="40:43" x14ac:dyDescent="0.3">
      <c r="AN127" s="26"/>
      <c r="AP127" s="8"/>
      <c r="AQ127" s="8"/>
    </row>
    <row r="128" spans="40:43" x14ac:dyDescent="0.3">
      <c r="AN128" s="26"/>
      <c r="AP128" s="8"/>
      <c r="AQ128" s="8"/>
    </row>
    <row r="129" spans="40:43" x14ac:dyDescent="0.3">
      <c r="AN129" s="26"/>
      <c r="AP129" s="8"/>
      <c r="AQ129" s="8"/>
    </row>
    <row r="130" spans="40:43" x14ac:dyDescent="0.3">
      <c r="AN130" s="26"/>
      <c r="AP130" s="8"/>
      <c r="AQ130" s="8"/>
    </row>
    <row r="131" spans="40:43" x14ac:dyDescent="0.3">
      <c r="AN131" s="26"/>
      <c r="AP131" s="8"/>
      <c r="AQ131" s="8"/>
    </row>
    <row r="132" spans="40:43" x14ac:dyDescent="0.3">
      <c r="AN132" s="26"/>
      <c r="AP132" s="8"/>
      <c r="AQ132" s="8"/>
    </row>
    <row r="133" spans="40:43" x14ac:dyDescent="0.3">
      <c r="AN133" s="26"/>
      <c r="AP133" s="8"/>
      <c r="AQ133" s="8"/>
    </row>
    <row r="134" spans="40:43" x14ac:dyDescent="0.3">
      <c r="AN134" s="26"/>
      <c r="AP134" s="8"/>
      <c r="AQ134" s="8"/>
    </row>
    <row r="135" spans="40:43" x14ac:dyDescent="0.3">
      <c r="AN135" s="26"/>
      <c r="AP135" s="8"/>
      <c r="AQ135" s="8"/>
    </row>
    <row r="136" spans="40:43" x14ac:dyDescent="0.3">
      <c r="AN136" s="26"/>
      <c r="AP136" s="8"/>
      <c r="AQ136" s="8"/>
    </row>
    <row r="137" spans="40:43" x14ac:dyDescent="0.3">
      <c r="AN137" s="26"/>
      <c r="AP137" s="8"/>
      <c r="AQ137" s="8"/>
    </row>
    <row r="138" spans="40:43" x14ac:dyDescent="0.3">
      <c r="AN138" s="26"/>
      <c r="AP138" s="8"/>
      <c r="AQ138" s="8"/>
    </row>
    <row r="139" spans="40:43" x14ac:dyDescent="0.3">
      <c r="AN139" s="26"/>
      <c r="AP139" s="8"/>
      <c r="AQ139" s="8"/>
    </row>
    <row r="140" spans="40:43" x14ac:dyDescent="0.3">
      <c r="AN140" s="26"/>
      <c r="AP140" s="8"/>
      <c r="AQ140" s="8"/>
    </row>
    <row r="141" spans="40:43" x14ac:dyDescent="0.3">
      <c r="AN141" s="26"/>
      <c r="AP141" s="8"/>
      <c r="AQ141" s="8"/>
    </row>
    <row r="142" spans="40:43" x14ac:dyDescent="0.3">
      <c r="AN142" s="26"/>
      <c r="AP142" s="8"/>
      <c r="AQ142" s="8"/>
    </row>
    <row r="143" spans="40:43" x14ac:dyDescent="0.3">
      <c r="AN143" s="26"/>
      <c r="AP143" s="8"/>
      <c r="AQ143" s="8"/>
    </row>
    <row r="144" spans="40:43" x14ac:dyDescent="0.3">
      <c r="AN144" s="26"/>
      <c r="AP144" s="8"/>
      <c r="AQ144" s="8"/>
    </row>
    <row r="145" spans="40:43" x14ac:dyDescent="0.3">
      <c r="AN145" s="26"/>
      <c r="AP145" s="8"/>
      <c r="AQ145" s="8"/>
    </row>
    <row r="146" spans="40:43" x14ac:dyDescent="0.3">
      <c r="AN146" s="26"/>
      <c r="AP146" s="8"/>
      <c r="AQ146" s="8"/>
    </row>
    <row r="147" spans="40:43" x14ac:dyDescent="0.3">
      <c r="AN147" s="26"/>
      <c r="AP147" s="8"/>
      <c r="AQ147" s="8"/>
    </row>
    <row r="148" spans="40:43" x14ac:dyDescent="0.3">
      <c r="AN148" s="26"/>
      <c r="AP148" s="8"/>
      <c r="AQ148" s="8"/>
    </row>
    <row r="149" spans="40:43" x14ac:dyDescent="0.3">
      <c r="AN149" s="26"/>
      <c r="AP149" s="8"/>
      <c r="AQ149" s="8"/>
    </row>
    <row r="150" spans="40:43" x14ac:dyDescent="0.3">
      <c r="AN150" s="26"/>
      <c r="AP150" s="8"/>
      <c r="AQ150" s="8"/>
    </row>
    <row r="151" spans="40:43" x14ac:dyDescent="0.3">
      <c r="AN151" s="26"/>
      <c r="AP151" s="8"/>
      <c r="AQ151" s="8"/>
    </row>
    <row r="152" spans="40:43" x14ac:dyDescent="0.3">
      <c r="AN152" s="26"/>
      <c r="AP152" s="8"/>
      <c r="AQ152" s="8"/>
    </row>
    <row r="153" spans="40:43" x14ac:dyDescent="0.3">
      <c r="AN153" s="26"/>
      <c r="AP153" s="8"/>
      <c r="AQ153" s="8"/>
    </row>
    <row r="154" spans="40:43" x14ac:dyDescent="0.3">
      <c r="AN154" s="26"/>
      <c r="AP154" s="8"/>
      <c r="AQ154" s="8"/>
    </row>
    <row r="155" spans="40:43" x14ac:dyDescent="0.3">
      <c r="AN155" s="26"/>
      <c r="AP155" s="8"/>
      <c r="AQ155" s="8"/>
    </row>
    <row r="156" spans="40:43" x14ac:dyDescent="0.3">
      <c r="AN156" s="26"/>
      <c r="AP156" s="8"/>
      <c r="AQ156" s="8"/>
    </row>
    <row r="157" spans="40:43" x14ac:dyDescent="0.3">
      <c r="AN157" s="26"/>
      <c r="AP157" s="8"/>
      <c r="AQ157" s="8"/>
    </row>
    <row r="158" spans="40:43" x14ac:dyDescent="0.3">
      <c r="AN158" s="26"/>
      <c r="AP158" s="8"/>
      <c r="AQ158" s="8"/>
    </row>
    <row r="159" spans="40:43" x14ac:dyDescent="0.3">
      <c r="AN159" s="26"/>
      <c r="AP159" s="8"/>
      <c r="AQ159" s="8"/>
    </row>
    <row r="160" spans="40:43" x14ac:dyDescent="0.3">
      <c r="AN160" s="26"/>
      <c r="AP160" s="8"/>
      <c r="AQ160" s="8"/>
    </row>
    <row r="161" spans="39:43" x14ac:dyDescent="0.3">
      <c r="AN161" s="26"/>
      <c r="AP161" s="8"/>
      <c r="AQ161" s="8"/>
    </row>
    <row r="162" spans="39:43" x14ac:dyDescent="0.3">
      <c r="AN162" s="26"/>
      <c r="AP162" s="8"/>
      <c r="AQ162" s="8"/>
    </row>
    <row r="163" spans="39:43" x14ac:dyDescent="0.3">
      <c r="AN163" s="26"/>
      <c r="AP163" s="8"/>
      <c r="AQ163" s="8"/>
    </row>
    <row r="164" spans="39:43" x14ac:dyDescent="0.3">
      <c r="AN164" s="26"/>
      <c r="AP164" s="8"/>
      <c r="AQ164" s="8"/>
    </row>
    <row r="165" spans="39:43" x14ac:dyDescent="0.3">
      <c r="AN165" s="26"/>
      <c r="AP165" s="8"/>
      <c r="AQ165" s="8"/>
    </row>
    <row r="166" spans="39:43" x14ac:dyDescent="0.3">
      <c r="AN166" s="26"/>
      <c r="AP166" s="8"/>
      <c r="AQ166" s="8"/>
    </row>
    <row r="167" spans="39:43" x14ac:dyDescent="0.3">
      <c r="AN167" s="26"/>
      <c r="AP167" s="8"/>
      <c r="AQ167" s="8"/>
    </row>
    <row r="168" spans="39:43" x14ac:dyDescent="0.3">
      <c r="AN168" s="26"/>
      <c r="AP168" s="8"/>
      <c r="AQ168" s="8"/>
    </row>
    <row r="169" spans="39:43" x14ac:dyDescent="0.3">
      <c r="AN169" s="26"/>
      <c r="AP169" s="8"/>
      <c r="AQ169" s="8"/>
    </row>
    <row r="170" spans="39:43" x14ac:dyDescent="0.3">
      <c r="AN170" s="26"/>
      <c r="AP170" s="8"/>
      <c r="AQ170" s="8"/>
    </row>
    <row r="171" spans="39:43" x14ac:dyDescent="0.3">
      <c r="AN171" s="26"/>
      <c r="AP171" s="8"/>
      <c r="AQ171" s="8"/>
    </row>
    <row r="172" spans="39:43" x14ac:dyDescent="0.3">
      <c r="AM172" s="3"/>
      <c r="AN172" s="26"/>
      <c r="AP172" s="8"/>
    </row>
    <row r="173" spans="39:43" x14ac:dyDescent="0.3">
      <c r="AM173" s="3"/>
      <c r="AN173" s="26"/>
      <c r="AP173" s="8"/>
    </row>
    <row r="174" spans="39:43" x14ac:dyDescent="0.3">
      <c r="AM174" s="3"/>
      <c r="AN174" s="26"/>
      <c r="AP174" s="8"/>
    </row>
    <row r="175" spans="39:43" x14ac:dyDescent="0.3">
      <c r="AM175" s="3"/>
      <c r="AN175" s="26"/>
      <c r="AP175" s="8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Malpani</dc:creator>
  <cp:lastModifiedBy>Prateek Malpani</cp:lastModifiedBy>
  <dcterms:created xsi:type="dcterms:W3CDTF">2026-08-21T04:03:35Z</dcterms:created>
  <dcterms:modified xsi:type="dcterms:W3CDTF">2026-08-21T04:35:31Z</dcterms:modified>
</cp:coreProperties>
</file>